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F9765907-A91A-4035-A631-1465207AD78C}" xr6:coauthVersionLast="47" xr6:coauthVersionMax="47" xr10:uidLastSave="{00000000-0000-0000-0000-000000000000}"/>
  <bookViews>
    <workbookView xWindow="-108" yWindow="-108" windowWidth="23256" windowHeight="13176" activeTab="3" xr2:uid="{6A9C8C7D-920E-4C56-80AF-A815EE4DFFAA}"/>
  </bookViews>
  <sheets>
    <sheet name="COGS" sheetId="10" r:id="rId1"/>
    <sheet name="Production BSF" sheetId="6" r:id="rId2"/>
    <sheet name="Produits NPKSemences" sheetId="7" r:id="rId3"/>
    <sheet name="Vente 2023-2024" sheetId="4" r:id="rId4"/>
    <sheet name="Compte de résultat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9" l="1"/>
  <c r="E15" i="9"/>
  <c r="D15" i="9"/>
  <c r="C15" i="9"/>
  <c r="C8" i="9"/>
  <c r="B15" i="9"/>
  <c r="B8" i="9"/>
  <c r="E40" i="4"/>
  <c r="E17" i="10" l="1"/>
  <c r="F15" i="10"/>
  <c r="F3" i="10"/>
  <c r="F4" i="10"/>
  <c r="F5" i="10"/>
  <c r="F6" i="10"/>
  <c r="F7" i="10"/>
  <c r="F8" i="10"/>
  <c r="F9" i="10"/>
  <c r="F11" i="10"/>
  <c r="F12" i="10"/>
  <c r="F13" i="10"/>
  <c r="F14" i="10"/>
  <c r="F16" i="10"/>
  <c r="F18" i="10"/>
  <c r="F20" i="10"/>
  <c r="F22" i="10"/>
  <c r="F26" i="10"/>
  <c r="F30" i="10"/>
  <c r="F36" i="10"/>
  <c r="F37" i="10"/>
  <c r="E18" i="4"/>
  <c r="E17" i="4"/>
  <c r="E3" i="4"/>
  <c r="C4" i="4"/>
  <c r="E4" i="4"/>
  <c r="C5" i="4"/>
  <c r="E5" i="4" s="1"/>
  <c r="C6" i="4"/>
  <c r="E6" i="4"/>
  <c r="C7" i="4"/>
  <c r="E7" i="4" s="1"/>
  <c r="E8" i="4"/>
  <c r="E9" i="4"/>
  <c r="E10" i="4"/>
  <c r="C11" i="4"/>
  <c r="E11" i="4"/>
  <c r="E12" i="4"/>
  <c r="C13" i="4"/>
  <c r="E13" i="4" s="1"/>
  <c r="C14" i="4"/>
  <c r="E14" i="4"/>
  <c r="E15" i="4"/>
  <c r="E16" i="4"/>
  <c r="C2" i="9"/>
  <c r="H6" i="4"/>
  <c r="J6" i="4" s="1"/>
  <c r="J7" i="4" s="1"/>
  <c r="B5" i="9" s="1"/>
  <c r="H5" i="4"/>
  <c r="J5" i="4"/>
  <c r="H4" i="4"/>
  <c r="J4" i="4"/>
  <c r="H3" i="4"/>
  <c r="J3" i="4"/>
  <c r="C37" i="4"/>
  <c r="E37" i="4" s="1"/>
  <c r="C36" i="4"/>
  <c r="E36" i="4"/>
  <c r="C34" i="4"/>
  <c r="E34" i="4"/>
  <c r="C33" i="4"/>
  <c r="E33" i="4"/>
  <c r="C32" i="4"/>
  <c r="E32" i="4" s="1"/>
  <c r="C27" i="4"/>
  <c r="E27" i="4"/>
  <c r="C26" i="4"/>
  <c r="E26" i="4"/>
  <c r="C23" i="4"/>
  <c r="C24" i="4"/>
  <c r="E24" i="4"/>
  <c r="A19" i="6"/>
  <c r="C32" i="10" s="1"/>
  <c r="F32" i="10" s="1"/>
  <c r="C13" i="6"/>
  <c r="C14" i="6"/>
  <c r="C15" i="6"/>
  <c r="C12" i="6"/>
  <c r="D3" i="7"/>
  <c r="D4" i="7"/>
  <c r="D10" i="7" s="1"/>
  <c r="A3" i="9" s="1"/>
  <c r="D5" i="7"/>
  <c r="D6" i="7"/>
  <c r="D7" i="7"/>
  <c r="D8" i="7"/>
  <c r="D2" i="7"/>
  <c r="C35" i="4"/>
  <c r="E35" i="4" s="1"/>
  <c r="C31" i="4"/>
  <c r="E31" i="4" s="1"/>
  <c r="E38" i="4" s="1"/>
  <c r="C30" i="4"/>
  <c r="E30" i="4"/>
  <c r="C25" i="4"/>
  <c r="E25" i="4" s="1"/>
  <c r="C22" i="4"/>
  <c r="E22" i="4" s="1"/>
  <c r="C21" i="4"/>
  <c r="E21" i="4" s="1"/>
  <c r="C2" i="6"/>
  <c r="C3" i="6"/>
  <c r="C7" i="6"/>
  <c r="C8" i="6"/>
  <c r="F19" i="6"/>
  <c r="C19" i="4"/>
  <c r="E23" i="4"/>
  <c r="B4" i="9" l="1"/>
  <c r="E19" i="4"/>
  <c r="B2" i="9" s="1"/>
  <c r="E28" i="4"/>
  <c r="B3" i="9" s="1"/>
  <c r="C25" i="10"/>
  <c r="F25" i="10" s="1"/>
  <c r="C19" i="6"/>
  <c r="E19" i="6" s="1"/>
  <c r="C28" i="4"/>
  <c r="C24" i="10"/>
  <c r="F24" i="10" s="1"/>
  <c r="C23" i="10"/>
  <c r="F23" i="10" s="1"/>
  <c r="C33" i="10"/>
  <c r="F33" i="10" s="1"/>
  <c r="C21" i="10"/>
  <c r="F21" i="10" s="1"/>
  <c r="C28" i="10" l="1"/>
  <c r="F28" i="10" s="1"/>
  <c r="C29" i="10"/>
  <c r="F29" i="10" s="1"/>
  <c r="F38" i="10" s="1"/>
  <c r="A2" i="9" s="1"/>
  <c r="A8" i="9" s="1"/>
  <c r="D8" i="9" s="1"/>
  <c r="F40" i="4"/>
  <c r="C3" i="9"/>
  <c r="F39" i="10"/>
</calcChain>
</file>

<file path=xl/sharedStrings.xml><?xml version="1.0" encoding="utf-8"?>
<sst xmlns="http://schemas.openxmlformats.org/spreadsheetml/2006/main" count="232" uniqueCount="144">
  <si>
    <t>Montant (Ar)</t>
  </si>
  <si>
    <t>Unité</t>
  </si>
  <si>
    <t>Mois</t>
  </si>
  <si>
    <t>Quantité</t>
  </si>
  <si>
    <t>L</t>
  </si>
  <si>
    <t>Tonnes</t>
  </si>
  <si>
    <t>Pack</t>
  </si>
  <si>
    <t>Montant</t>
  </si>
  <si>
    <t>Unitaire</t>
  </si>
  <si>
    <t>Multiplicateur</t>
  </si>
  <si>
    <t>Désignation</t>
  </si>
  <si>
    <t>Salaire Chef d'équipe</t>
  </si>
  <si>
    <t>Salaire Personnels</t>
  </si>
  <si>
    <t>Achat EPI</t>
  </si>
  <si>
    <t>Achat Fientes de poule</t>
  </si>
  <si>
    <t>Valeur MP Ntsoa utilisées</t>
  </si>
  <si>
    <t>Achat Coquillage</t>
  </si>
  <si>
    <t>Achat 5DOL Black soldier Fly</t>
  </si>
  <si>
    <t>Kg</t>
  </si>
  <si>
    <t>Amortissement Machine 1</t>
  </si>
  <si>
    <t>Amortissement Machine 2</t>
  </si>
  <si>
    <t>Amortissement Machine 3</t>
  </si>
  <si>
    <t>Amortissement Machine 4</t>
  </si>
  <si>
    <t>Facture Electricité</t>
  </si>
  <si>
    <t>CHARGES DU PERSONNELS</t>
  </si>
  <si>
    <t>CHARGES IMMOBILIERES ET MOBILIERES</t>
  </si>
  <si>
    <t>ACHATS MATIERES PREMIERES</t>
  </si>
  <si>
    <t>Amortissement Kubota</t>
  </si>
  <si>
    <t>Achat Tomates en boite périmé</t>
  </si>
  <si>
    <t>Collecte déchets de Litchi</t>
  </si>
  <si>
    <t>ENERGIES</t>
  </si>
  <si>
    <t>DEPENSES DIVERSES</t>
  </si>
  <si>
    <t>Frais de livraison PUPRA</t>
  </si>
  <si>
    <t>Dépenses équipes</t>
  </si>
  <si>
    <t>kg</t>
  </si>
  <si>
    <t>Décembre</t>
  </si>
  <si>
    <t>Stock dispo</t>
  </si>
  <si>
    <t>sacs (30kg)</t>
  </si>
  <si>
    <t>Novembre 2024</t>
  </si>
  <si>
    <t>Stock non traité</t>
  </si>
  <si>
    <t>Tonne</t>
  </si>
  <si>
    <t>Octobre 2024</t>
  </si>
  <si>
    <t>Titre vert</t>
  </si>
  <si>
    <t>Bénéficiaire (215kg)</t>
  </si>
  <si>
    <t>Mai 2024</t>
  </si>
  <si>
    <t>Purpa Brickaville</t>
  </si>
  <si>
    <t>Bénéficiaire (90kg)</t>
  </si>
  <si>
    <t>Septembre 2024</t>
  </si>
  <si>
    <t>Ambohijanaka</t>
  </si>
  <si>
    <t>Mars 2024</t>
  </si>
  <si>
    <t>Purpa 2024</t>
  </si>
  <si>
    <t>Novembre 2023</t>
  </si>
  <si>
    <t>Phael Flor</t>
  </si>
  <si>
    <t>Date</t>
  </si>
  <si>
    <t>Clients</t>
  </si>
  <si>
    <t>Quantité (Kg)</t>
  </si>
  <si>
    <t>Quantification</t>
  </si>
  <si>
    <t>Manioc</t>
  </si>
  <si>
    <t>Mais</t>
  </si>
  <si>
    <t>Riz</t>
  </si>
  <si>
    <t>NPK</t>
  </si>
  <si>
    <t>Produits</t>
  </si>
  <si>
    <t xml:space="preserve">Achat emballage </t>
  </si>
  <si>
    <t>TGR</t>
  </si>
  <si>
    <t>Vente Phael Flor</t>
  </si>
  <si>
    <t xml:space="preserve">Vente TITRE VERT </t>
  </si>
  <si>
    <t>Vente Ambohijanaka</t>
  </si>
  <si>
    <t>Vente Ambato</t>
  </si>
  <si>
    <t>Vente Pst Reynaud</t>
  </si>
  <si>
    <t>Vente FDA-PURPA 2024 TVE</t>
  </si>
  <si>
    <t>Vente FDA-PURPA 2024 VAT</t>
  </si>
  <si>
    <t>Vente FDA-PURPA 2025 CR TVE</t>
  </si>
  <si>
    <t>Purpa 2025</t>
  </si>
  <si>
    <t>Décembre 2024</t>
  </si>
  <si>
    <t>Ambatondrazaka</t>
  </si>
  <si>
    <t>Pst Reynaud</t>
  </si>
  <si>
    <t>Vente NPK FDA-PURPA 2024 VAT</t>
  </si>
  <si>
    <t>Vente NPK FDA-PURPA 2024 TVE</t>
  </si>
  <si>
    <t>Vente NPK TITRE VERT</t>
  </si>
  <si>
    <t>Vente NPK FDA-PURPA 2025 CR TVE</t>
  </si>
  <si>
    <t>Vente Riz FDA-PURPA 2024 VAT</t>
  </si>
  <si>
    <t>Vente Riz FDA-PURPA 2024 TVE</t>
  </si>
  <si>
    <t>Vente Maïs TITRE VERT</t>
  </si>
  <si>
    <t>Vente Manioc TITRE VERT</t>
  </si>
  <si>
    <t>Vente Riz FDA-PURPA 2025 CR TVE</t>
  </si>
  <si>
    <t>Pièce</t>
  </si>
  <si>
    <t>Déc-2024</t>
  </si>
  <si>
    <t>Charges</t>
  </si>
  <si>
    <t>Unitaire (Ar)</t>
  </si>
  <si>
    <t>Vente FDA-PURPA CR 2024 BRICK</t>
  </si>
  <si>
    <t>Vente FDA-PURPA CR 2025 BRICK</t>
  </si>
  <si>
    <t>Vente FDA-PURPA 2025 TVE</t>
  </si>
  <si>
    <t>Salaire Chef d'équipe CNAPS</t>
  </si>
  <si>
    <t>Salaire Personnels CNAPS</t>
  </si>
  <si>
    <t>Carburant Camion Collecte</t>
  </si>
  <si>
    <t>Carburant Kubota Collecte</t>
  </si>
  <si>
    <t>KWh</t>
  </si>
  <si>
    <t>COMMUNICATION</t>
  </si>
  <si>
    <t>Flotte téléphonique</t>
  </si>
  <si>
    <t>Connexion</t>
  </si>
  <si>
    <t>Util</t>
  </si>
  <si>
    <t>Abonn</t>
  </si>
  <si>
    <t>Vente NPK FDA-PURPA CR BRICK</t>
  </si>
  <si>
    <t>Vente Riz FDA-PURPA CR BRICK</t>
  </si>
  <si>
    <t>Vente Riz FDA-PURPA CR 2025 BRICK</t>
  </si>
  <si>
    <t>Vente Riz FDA-PURPA 2025 TVE</t>
  </si>
  <si>
    <t>Vente TITRE VERT</t>
  </si>
  <si>
    <t>Ventes</t>
  </si>
  <si>
    <t>Valeur Stock</t>
  </si>
  <si>
    <t>Stock (Kg)</t>
  </si>
  <si>
    <t xml:space="preserve">Marges </t>
  </si>
  <si>
    <t>Vente non encaissée</t>
  </si>
  <si>
    <t>Total charges</t>
  </si>
  <si>
    <t>Total ventes encaissées</t>
  </si>
  <si>
    <t>Bénéfices nets 2025</t>
  </si>
  <si>
    <t>Bénéfice brut après liquidation</t>
  </si>
  <si>
    <t>TOTAL PROD</t>
  </si>
  <si>
    <t>MOIS D'EXERCICE</t>
  </si>
  <si>
    <t>PROD/MENSUEL</t>
  </si>
  <si>
    <t>N JOUR TRAVAIL</t>
  </si>
  <si>
    <t>PROD JOURNALIER</t>
  </si>
  <si>
    <t>TOTAL JOUR TRAVAIL</t>
  </si>
  <si>
    <t>VENTES ENCAISSEES</t>
  </si>
  <si>
    <t>VENTES NON ENCAISSEES</t>
  </si>
  <si>
    <t>TOTAL</t>
  </si>
  <si>
    <t>Cantines</t>
  </si>
  <si>
    <t>Jour</t>
  </si>
  <si>
    <t>Transport personnels</t>
  </si>
  <si>
    <t>REVIENT PAR KG</t>
  </si>
  <si>
    <t>Vente Foire carlton 2025</t>
  </si>
  <si>
    <t>Vente extra TENDRY</t>
  </si>
  <si>
    <t>Column1</t>
  </si>
  <si>
    <t>Hangar BSF</t>
  </si>
  <si>
    <t>Vente boite de conserve tomate</t>
  </si>
  <si>
    <t>Revendeur Tana</t>
  </si>
  <si>
    <t>ROI/29mois</t>
  </si>
  <si>
    <t>Benef/mois</t>
  </si>
  <si>
    <t>Benefices NPK</t>
  </si>
  <si>
    <t>Amortissement machine 5</t>
  </si>
  <si>
    <t>Amortissement Tracteur</t>
  </si>
  <si>
    <t>Total ventes</t>
  </si>
  <si>
    <t>RN+Stock</t>
  </si>
  <si>
    <t>RN/Mois Ar</t>
  </si>
  <si>
    <t>RN/Mois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</si>
</sst>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B0F0"/>
      <name val="Arial Narrow"/>
      <family val="2"/>
    </font>
    <font>
      <b/>
      <sz val="12"/>
      <color rgb="FF00B050"/>
      <name val="Arial Narrow"/>
      <family val="2"/>
    </font>
    <font>
      <sz val="12"/>
      <color rgb="FFFF0000"/>
      <name val="Arial Narrow"/>
      <family val="2"/>
    </font>
    <font>
      <i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"/>
      <family val="2"/>
    </font>
    <font>
      <sz val="12"/>
      <color rgb="FF00B050"/>
      <name val="Arial Narrow"/>
      <family val="2"/>
    </font>
    <font>
      <sz val="12"/>
      <color rgb="FF00B0F0"/>
      <name val="Arial Narrow"/>
      <family val="2"/>
    </font>
    <font>
      <b/>
      <i/>
      <sz val="12"/>
      <color rgb="FF7030A0"/>
      <name val="Arial Narrow"/>
      <family val="2"/>
    </font>
    <font>
      <sz val="12"/>
      <name val="Arial Narrow"/>
      <family val="2"/>
    </font>
    <font>
      <b/>
      <i/>
      <sz val="12"/>
      <color rgb="FF00B0F0"/>
      <name val="Arial Narrow"/>
      <family val="2"/>
    </font>
    <font>
      <sz val="11"/>
      <color rgb="FF00B0F0"/>
      <name val="Calibri"/>
      <family val="2"/>
      <scheme val="minor"/>
    </font>
    <font>
      <b/>
      <sz val="12"/>
      <color theme="5" tint="-0.249977111117893"/>
      <name val="Arial Narrow"/>
      <family val="2"/>
    </font>
    <font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9C0006"/>
      <name val="Arial Narrow"/>
      <family val="2"/>
    </font>
    <font>
      <b/>
      <i/>
      <sz val="12"/>
      <color rgb="FFC00000"/>
      <name val="Arial Narrow"/>
      <family val="2"/>
    </font>
    <font>
      <b/>
      <sz val="12"/>
      <color rgb="FFC00000"/>
      <name val="Arial Narrow"/>
      <family val="2"/>
    </font>
    <font>
      <i/>
      <sz val="12"/>
      <color theme="8" tint="-0.499984740745262"/>
      <name val="Arial Narrow"/>
      <family val="2"/>
    </font>
    <font>
      <b/>
      <i/>
      <sz val="12"/>
      <name val="Arial Narrow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2" fillId="0" borderId="0" xfId="0" applyFont="1"/>
    <xf numFmtId="164" fontId="0" fillId="0" borderId="0" xfId="1" applyFont="1"/>
    <xf numFmtId="164" fontId="2" fillId="0" borderId="0" xfId="0" applyNumberFormat="1" applyFont="1"/>
    <xf numFmtId="164" fontId="2" fillId="0" borderId="0" xfId="1" applyFont="1"/>
    <xf numFmtId="164" fontId="3" fillId="0" borderId="0" xfId="1" applyFont="1"/>
    <xf numFmtId="0" fontId="2" fillId="0" borderId="0" xfId="0" applyFont="1" applyAlignment="1">
      <alignment horizontal="centerContinuous"/>
    </xf>
    <xf numFmtId="164" fontId="2" fillId="0" borderId="0" xfId="1" applyFont="1" applyAlignment="1">
      <alignment horizontal="centerContinuous"/>
    </xf>
    <xf numFmtId="0" fontId="9" fillId="0" borderId="0" xfId="0" applyFont="1" applyAlignment="1">
      <alignment horizontal="centerContinuous"/>
    </xf>
    <xf numFmtId="164" fontId="9" fillId="0" borderId="0" xfId="1" applyFont="1" applyAlignment="1">
      <alignment horizontal="centerContinuous"/>
    </xf>
    <xf numFmtId="0" fontId="9" fillId="0" borderId="0" xfId="0" applyFont="1"/>
    <xf numFmtId="0" fontId="10" fillId="0" borderId="0" xfId="0" applyFont="1"/>
    <xf numFmtId="167" fontId="2" fillId="0" borderId="0" xfId="0" applyNumberFormat="1" applyFont="1"/>
    <xf numFmtId="2" fontId="2" fillId="0" borderId="0" xfId="0" applyNumberFormat="1" applyFont="1"/>
    <xf numFmtId="166" fontId="2" fillId="0" borderId="0" xfId="2" applyNumberFormat="1" applyFont="1"/>
    <xf numFmtId="164" fontId="3" fillId="2" borderId="0" xfId="0" applyNumberFormat="1" applyFont="1" applyFill="1"/>
    <xf numFmtId="0" fontId="0" fillId="2" borderId="0" xfId="0" applyFill="1"/>
    <xf numFmtId="166" fontId="3" fillId="3" borderId="0" xfId="0" applyNumberFormat="1" applyFont="1" applyFill="1"/>
    <xf numFmtId="0" fontId="0" fillId="3" borderId="0" xfId="0" applyFill="1"/>
    <xf numFmtId="0" fontId="0" fillId="4" borderId="0" xfId="0" applyFill="1"/>
    <xf numFmtId="164" fontId="3" fillId="4" borderId="0" xfId="0" applyNumberFormat="1" applyFont="1" applyFill="1"/>
    <xf numFmtId="166" fontId="6" fillId="0" borderId="0" xfId="0" applyNumberFormat="1" applyFont="1"/>
    <xf numFmtId="164" fontId="12" fillId="0" borderId="0" xfId="0" applyNumberFormat="1" applyFont="1"/>
    <xf numFmtId="166" fontId="12" fillId="0" borderId="0" xfId="0" applyNumberFormat="1" applyFont="1"/>
    <xf numFmtId="166" fontId="12" fillId="0" borderId="0" xfId="2" applyNumberFormat="1" applyFont="1"/>
    <xf numFmtId="166" fontId="13" fillId="0" borderId="0" xfId="0" applyNumberFormat="1" applyFont="1"/>
    <xf numFmtId="0" fontId="8" fillId="0" borderId="0" xfId="0" applyFont="1"/>
    <xf numFmtId="166" fontId="6" fillId="0" borderId="0" xfId="2" applyNumberFormat="1" applyFont="1"/>
    <xf numFmtId="164" fontId="14" fillId="0" borderId="0" xfId="1" applyFont="1"/>
    <xf numFmtId="1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4" fillId="0" borderId="0" xfId="0" applyNumberFormat="1" applyFont="1"/>
    <xf numFmtId="166" fontId="7" fillId="0" borderId="0" xfId="2" applyNumberFormat="1" applyFont="1"/>
    <xf numFmtId="166" fontId="4" fillId="0" borderId="0" xfId="0" applyNumberFormat="1" applyFont="1"/>
    <xf numFmtId="166" fontId="5" fillId="0" borderId="0" xfId="2" applyNumberFormat="1" applyFont="1"/>
    <xf numFmtId="0" fontId="15" fillId="0" borderId="0" xfId="0" applyFont="1"/>
    <xf numFmtId="0" fontId="12" fillId="0" borderId="0" xfId="0" applyFont="1"/>
    <xf numFmtId="0" fontId="16" fillId="0" borderId="0" xfId="0" applyFont="1"/>
    <xf numFmtId="166" fontId="5" fillId="0" borderId="0" xfId="0" applyNumberFormat="1" applyFont="1"/>
    <xf numFmtId="164" fontId="11" fillId="0" borderId="0" xfId="1" applyFont="1"/>
    <xf numFmtId="166" fontId="3" fillId="0" borderId="0" xfId="2" applyNumberFormat="1" applyFont="1"/>
    <xf numFmtId="166" fontId="9" fillId="0" borderId="0" xfId="2" applyNumberFormat="1" applyFont="1"/>
    <xf numFmtId="166" fontId="17" fillId="0" borderId="0" xfId="0" applyNumberFormat="1" applyFont="1"/>
    <xf numFmtId="9" fontId="3" fillId="0" borderId="0" xfId="3" applyFont="1"/>
    <xf numFmtId="0" fontId="18" fillId="0" borderId="0" xfId="0" applyFont="1"/>
    <xf numFmtId="43" fontId="2" fillId="0" borderId="0" xfId="0" applyNumberFormat="1" applyFont="1"/>
    <xf numFmtId="0" fontId="19" fillId="0" borderId="0" xfId="0" applyFont="1"/>
    <xf numFmtId="164" fontId="3" fillId="0" borderId="0" xfId="0" applyNumberFormat="1" applyFont="1"/>
    <xf numFmtId="0" fontId="21" fillId="6" borderId="0" xfId="5" applyAlignment="1">
      <alignment horizontal="right"/>
    </xf>
    <xf numFmtId="0" fontId="22" fillId="5" borderId="0" xfId="4" applyFont="1"/>
    <xf numFmtId="164" fontId="22" fillId="5" borderId="0" xfId="4" applyNumberFormat="1" applyFont="1"/>
    <xf numFmtId="0" fontId="23" fillId="0" borderId="0" xfId="0" applyFont="1" applyAlignment="1">
      <alignment horizontal="centerContinuous"/>
    </xf>
    <xf numFmtId="0" fontId="24" fillId="6" borderId="0" xfId="5" applyFont="1" applyAlignment="1">
      <alignment horizontal="right"/>
    </xf>
    <xf numFmtId="164" fontId="24" fillId="2" borderId="0" xfId="1" applyFont="1" applyFill="1"/>
    <xf numFmtId="17" fontId="2" fillId="0" borderId="0" xfId="0" applyNumberFormat="1" applyFont="1" applyAlignment="1">
      <alignment horizontal="right"/>
    </xf>
    <xf numFmtId="166" fontId="24" fillId="0" borderId="0" xfId="0" applyNumberFormat="1" applyFont="1"/>
    <xf numFmtId="0" fontId="23" fillId="0" borderId="0" xfId="0" applyFont="1"/>
    <xf numFmtId="0" fontId="9" fillId="0" borderId="0" xfId="0" applyFont="1" applyAlignment="1">
      <alignment horizontal="center"/>
    </xf>
    <xf numFmtId="164" fontId="25" fillId="0" borderId="0" xfId="1" applyFont="1"/>
    <xf numFmtId="43" fontId="9" fillId="0" borderId="0" xfId="0" applyNumberFormat="1" applyFont="1"/>
    <xf numFmtId="0" fontId="26" fillId="0" borderId="0" xfId="0" applyFont="1"/>
    <xf numFmtId="165" fontId="0" fillId="0" borderId="0" xfId="0" applyNumberFormat="1"/>
    <xf numFmtId="165" fontId="27" fillId="0" borderId="0" xfId="0" applyNumberFormat="1" applyFont="1"/>
    <xf numFmtId="10" fontId="27" fillId="0" borderId="0" xfId="0" applyNumberFormat="1" applyFont="1"/>
    <xf numFmtId="43" fontId="0" fillId="0" borderId="0" xfId="0" applyNumberFormat="1"/>
    <xf numFmtId="166" fontId="9" fillId="0" borderId="0" xfId="0" applyNumberFormat="1" applyFont="1"/>
    <xf numFmtId="164" fontId="0" fillId="0" borderId="0" xfId="0" applyNumberFormat="1"/>
    <xf numFmtId="0" fontId="9" fillId="0" borderId="0" xfId="0" applyFont="1" applyAlignment="1">
      <alignment horizontal="center"/>
    </xf>
    <xf numFmtId="166" fontId="0" fillId="0" borderId="0" xfId="0" applyNumberFormat="1"/>
  </cellXfs>
  <cellStyles count="6">
    <cellStyle name="Accent4" xfId="5" builtinId="41"/>
    <cellStyle name="Bad" xfId="4" builtinId="27"/>
    <cellStyle name="Comma" xfId="2" builtinId="3"/>
    <cellStyle name="Comma [0]" xfId="1" builtinId="6"/>
    <cellStyle name="Normal" xfId="0" builtinId="0"/>
    <cellStyle name="Percent" xfId="3" builtinId="5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rial Narrow"/>
        <family val="2"/>
        <scheme val="none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rial Narrow"/>
        <family val="2"/>
        <scheme val="none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rial Narrow"/>
        <family val="2"/>
        <scheme val="none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rial Narrow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rgb="FFC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9C0006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823AE-EA68-491D-905C-6342858C56B0}" name="Tableau132" displayName="Tableau132" ref="A1:F41" totalsRowShown="0" headerRowDxfId="26">
  <autoFilter ref="A1:F41" xr:uid="{05FCDA98-5104-48CD-AFC0-34E8A4CA312E}"/>
  <tableColumns count="6">
    <tableColumn id="1" xr3:uid="{F1665258-7AF7-4AA4-946E-72E6E3F6D71B}" name="Désignation" dataDxfId="25"/>
    <tableColumn id="2" xr3:uid="{BC781C37-F648-41BA-8F16-FF6D3E3A276C}" name="Unité" dataDxfId="24"/>
    <tableColumn id="3" xr3:uid="{006409D2-681F-40DB-8FB8-8FA358434E56}" name="Quantité" dataDxfId="23"/>
    <tableColumn id="4" xr3:uid="{5497AC74-818A-4149-9432-29A865D019ED}" name="Multiplicateur" dataDxfId="22"/>
    <tableColumn id="5" xr3:uid="{72D7AA56-6964-4DD8-A874-5CE03D5C5A54}" name="Unitaire (Ar)" dataDxfId="21"/>
    <tableColumn id="6" xr3:uid="{49DED11F-9BE9-416F-950F-70D7587DC8ED}" name="Montant (Ar)" dataDxfId="2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1D8BC-AA3B-4268-A680-09E2824E30FF}" name="Table2" displayName="Table2" ref="A1:F19" totalsRowShown="0" dataDxfId="19">
  <autoFilter ref="A1:F19" xr:uid="{1541D8BC-AA3B-4268-A680-09E2824E30FF}"/>
  <tableColumns count="6">
    <tableColumn id="1" xr3:uid="{BAA2B1A3-A333-47DE-BBB6-E4EB7A75C51B}" name="Quantification"/>
    <tableColumn id="2" xr3:uid="{027DDF76-0842-43F2-9910-220BAE14308A}" name="Unité" dataDxfId="18"/>
    <tableColumn id="3" xr3:uid="{FEB5D54A-6687-4753-AEE6-A29AEC24E742}" name="Quantité (Kg)"/>
    <tableColumn id="4" xr3:uid="{4ED6E117-9402-4FC2-A272-96AA46DB1DFF}" name="Clients" dataDxfId="17"/>
    <tableColumn id="5" xr3:uid="{70C9C3E1-4ABC-4A05-8AFC-95EC7D16B809}" name="Date" dataDxfId="16"/>
    <tableColumn id="6" xr3:uid="{FCC33850-D8E0-40F2-9FAE-5B87A03062BD}" name="Column1" dataDxfId="1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375A17-4517-4A94-861D-3F3F7DF9641B}" name="Table3" displayName="Table3" ref="A1:E10" totalsRowShown="0" headerRowDxfId="14" dataDxfId="13">
  <autoFilter ref="A1:E10" xr:uid="{4C375A17-4517-4A94-861D-3F3F7DF9641B}"/>
  <tableColumns count="5">
    <tableColumn id="1" xr3:uid="{EDE3FE39-D9C9-4905-8076-5E2CCBC02D5E}" name="Produits" dataDxfId="12"/>
    <tableColumn id="2" xr3:uid="{80E4D35A-FB0A-4ECB-AD14-8E7272796E0D}" name="Quantité" dataDxfId="11"/>
    <tableColumn id="3" xr3:uid="{3BB202C1-694D-4E60-8AE2-D3CF6215437C}" name="Unitaire" dataDxfId="10"/>
    <tableColumn id="4" xr3:uid="{C4813EAD-C5AD-4643-8CEC-C6B660EA42A8}" name="Montant" dataDxfId="9"/>
    <tableColumn id="5" xr3:uid="{94F59379-E18E-4115-B8CA-328D3FA2C5BE}" name="Date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3E7661-B180-4E8D-BFF3-2F18707DBD3C}" name="Table4" displayName="Table4" ref="A1:E40" totalsRowShown="0" headerRowDxfId="8">
  <autoFilter ref="A1:E40" xr:uid="{823E7661-B180-4E8D-BFF3-2F18707DBD3C}"/>
  <tableColumns count="5">
    <tableColumn id="1" xr3:uid="{79BBBBA2-0860-46B2-97C8-72CAD34BCE69}" name="VENTES ENCAISSEES"/>
    <tableColumn id="2" xr3:uid="{DE47813D-138F-4F5D-A29A-E1FAEAFC32E1}" name="Unité"/>
    <tableColumn id="3" xr3:uid="{739A2BEE-6CAE-4694-831F-F8F0AD0937B4}" name="Quantité"/>
    <tableColumn id="4" xr3:uid="{309FA3F9-253A-44B0-B439-882EFFF2358F}" name="Unitaire"/>
    <tableColumn id="5" xr3:uid="{58E8AE97-014E-45E6-B29C-375A239112A5}" name="Montant (Ar)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27D0C4-A024-419A-89E2-A50E326B56A3}" name="Table5" displayName="Table5" ref="F2:J7" totalsRowShown="0" headerRowDxfId="7" dataDxfId="6">
  <autoFilter ref="F2:J7" xr:uid="{8A27D0C4-A024-419A-89E2-A50E326B56A3}"/>
  <tableColumns count="5">
    <tableColumn id="1" xr3:uid="{52174CD3-BBF0-4549-81B9-75C8DAF05543}" name="Désignation" dataDxfId="5"/>
    <tableColumn id="2" xr3:uid="{DFE32EDB-5487-498A-A5A1-EFC005E6FFB9}" name="Unité" dataDxfId="4"/>
    <tableColumn id="3" xr3:uid="{DAD4F837-9DFA-444F-B084-86010986F9D8}" name="Quantité" dataDxfId="3"/>
    <tableColumn id="4" xr3:uid="{BB28BA02-16DE-421F-BB4B-A7CE00E7A82A}" name="Unitaire" dataDxfId="2"/>
    <tableColumn id="5" xr3:uid="{AFEE1D45-EDC2-43AF-9831-67A1AA643E0F}" name="Montant (Ar)" dataDxfId="1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95D5E0-13B3-4D79-A660-1DFB6694B164}" name="Table6" displayName="Table6" ref="A1:D10" totalsRowShown="0" headerRowDxfId="0">
  <autoFilter ref="A1:D10" xr:uid="{5C95D5E0-13B3-4D79-A660-1DFB6694B164}"/>
  <tableColumns count="4">
    <tableColumn id="1" xr3:uid="{07884DCC-74D4-46FF-AF0F-D2720BBD16D2}" name="Charges"/>
    <tableColumn id="2" xr3:uid="{467319D4-F7B1-4A20-9E29-24B0EC800A9E}" name="Ventes"/>
    <tableColumn id="3" xr3:uid="{D363F99E-8361-4DC3-9B94-1C04FC5142D0}" name="Valeur Stock"/>
    <tableColumn id="4" xr3:uid="{680AD875-EDA6-4BEF-A049-466F9E18C218}" name="Stock (Kg)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7345-F687-42EB-BE1E-FF26729ED006}">
  <sheetPr>
    <tabColor rgb="FFFF0000"/>
    <pageSetUpPr fitToPage="1"/>
  </sheetPr>
  <dimension ref="A1:F41"/>
  <sheetViews>
    <sheetView zoomScale="200" zoomScaleNormal="200" workbookViewId="0">
      <selection activeCell="F39" sqref="F39"/>
    </sheetView>
  </sheetViews>
  <sheetFormatPr defaultColWidth="11.5546875" defaultRowHeight="14.4" x14ac:dyDescent="0.3"/>
  <cols>
    <col min="1" max="1" width="26.88671875" bestFit="1" customWidth="1"/>
    <col min="2" max="2" width="8" customWidth="1"/>
    <col min="3" max="3" width="12.88671875" bestFit="1" customWidth="1"/>
    <col min="4" max="4" width="14.6640625" bestFit="1" customWidth="1"/>
    <col min="5" max="5" width="11.6640625" style="3" customWidth="1"/>
    <col min="6" max="6" width="15" style="3" bestFit="1" customWidth="1"/>
  </cols>
  <sheetData>
    <row r="1" spans="1:6" ht="15.6" x14ac:dyDescent="0.3">
      <c r="A1" s="51" t="s">
        <v>10</v>
      </c>
      <c r="B1" s="51" t="s">
        <v>1</v>
      </c>
      <c r="C1" s="51" t="s">
        <v>3</v>
      </c>
      <c r="D1" s="51" t="s">
        <v>9</v>
      </c>
      <c r="E1" s="52" t="s">
        <v>88</v>
      </c>
      <c r="F1" s="52" t="s">
        <v>0</v>
      </c>
    </row>
    <row r="2" spans="1:6" ht="15.6" x14ac:dyDescent="0.3">
      <c r="A2" s="53" t="s">
        <v>24</v>
      </c>
      <c r="B2" s="9"/>
      <c r="C2" s="9"/>
      <c r="D2" s="9"/>
      <c r="E2" s="10"/>
      <c r="F2" s="10"/>
    </row>
    <row r="3" spans="1:6" ht="15.6" x14ac:dyDescent="0.3">
      <c r="A3" s="2" t="s">
        <v>11</v>
      </c>
      <c r="B3" s="2" t="s">
        <v>2</v>
      </c>
      <c r="C3" s="2">
        <v>20</v>
      </c>
      <c r="D3" s="2">
        <v>3</v>
      </c>
      <c r="E3" s="5">
        <v>230000</v>
      </c>
      <c r="F3" s="5">
        <f>C3*D3*E3</f>
        <v>13800000</v>
      </c>
    </row>
    <row r="4" spans="1:6" ht="15.6" x14ac:dyDescent="0.3">
      <c r="A4" s="2" t="s">
        <v>12</v>
      </c>
      <c r="B4" s="2" t="s">
        <v>2</v>
      </c>
      <c r="C4" s="2">
        <v>14</v>
      </c>
      <c r="D4" s="2">
        <v>12</v>
      </c>
      <c r="E4" s="5">
        <v>200000</v>
      </c>
      <c r="F4" s="5">
        <f>C4*D4*E4</f>
        <v>33600000</v>
      </c>
    </row>
    <row r="5" spans="1:6" ht="15.6" x14ac:dyDescent="0.3">
      <c r="A5" s="2" t="s">
        <v>92</v>
      </c>
      <c r="B5" s="2" t="s">
        <v>2</v>
      </c>
      <c r="C5" s="2">
        <v>9</v>
      </c>
      <c r="D5" s="2">
        <v>2</v>
      </c>
      <c r="E5" s="5">
        <v>287000</v>
      </c>
      <c r="F5" s="5">
        <f t="shared" ref="F5:F8" si="0">C5*D5*E5</f>
        <v>5166000</v>
      </c>
    </row>
    <row r="6" spans="1:6" ht="15.6" x14ac:dyDescent="0.3">
      <c r="A6" s="2" t="s">
        <v>93</v>
      </c>
      <c r="B6" s="2" t="s">
        <v>2</v>
      </c>
      <c r="C6" s="2">
        <v>9</v>
      </c>
      <c r="D6" s="2">
        <v>11</v>
      </c>
      <c r="E6" s="5">
        <v>267000</v>
      </c>
      <c r="F6" s="5">
        <f t="shared" si="0"/>
        <v>26433000</v>
      </c>
    </row>
    <row r="7" spans="1:6" ht="15.6" x14ac:dyDescent="0.3">
      <c r="A7" s="2" t="s">
        <v>125</v>
      </c>
      <c r="B7" s="2" t="s">
        <v>126</v>
      </c>
      <c r="C7" s="2">
        <v>22</v>
      </c>
      <c r="D7" s="2">
        <v>10</v>
      </c>
      <c r="E7" s="5">
        <v>30000</v>
      </c>
      <c r="F7" s="5">
        <f t="shared" si="0"/>
        <v>6600000</v>
      </c>
    </row>
    <row r="8" spans="1:6" ht="15.6" x14ac:dyDescent="0.3">
      <c r="A8" s="2" t="s">
        <v>127</v>
      </c>
      <c r="B8" s="2" t="s">
        <v>126</v>
      </c>
      <c r="C8" s="2">
        <v>22</v>
      </c>
      <c r="D8" s="2">
        <v>10</v>
      </c>
      <c r="E8" s="5">
        <v>35000</v>
      </c>
      <c r="F8" s="5">
        <f t="shared" si="0"/>
        <v>7700000</v>
      </c>
    </row>
    <row r="9" spans="1:6" ht="15.6" x14ac:dyDescent="0.3">
      <c r="A9" s="2" t="s">
        <v>13</v>
      </c>
      <c r="B9" s="2" t="s">
        <v>6</v>
      </c>
      <c r="C9" s="2">
        <v>2</v>
      </c>
      <c r="D9" s="2">
        <v>11</v>
      </c>
      <c r="E9" s="5">
        <v>50000</v>
      </c>
      <c r="F9" s="5">
        <f>C9*D9*E9</f>
        <v>1100000</v>
      </c>
    </row>
    <row r="10" spans="1:6" ht="15.6" x14ac:dyDescent="0.3">
      <c r="A10" s="53" t="s">
        <v>25</v>
      </c>
      <c r="B10" s="7"/>
      <c r="C10" s="7"/>
      <c r="D10" s="7"/>
      <c r="E10" s="8"/>
      <c r="F10" s="8"/>
    </row>
    <row r="11" spans="1:6" ht="15.6" x14ac:dyDescent="0.3">
      <c r="A11" s="2" t="s">
        <v>132</v>
      </c>
      <c r="B11" s="2" t="s">
        <v>1</v>
      </c>
      <c r="C11" s="2">
        <v>1</v>
      </c>
      <c r="D11" s="2">
        <v>1</v>
      </c>
      <c r="E11" s="5">
        <v>60000000</v>
      </c>
      <c r="F11" s="5">
        <f t="shared" ref="F11:F18" si="1">C11*D11*E11</f>
        <v>60000000</v>
      </c>
    </row>
    <row r="12" spans="1:6" ht="15.6" x14ac:dyDescent="0.3">
      <c r="A12" s="2" t="s">
        <v>19</v>
      </c>
      <c r="B12" s="2" t="s">
        <v>2</v>
      </c>
      <c r="C12" s="2">
        <v>24</v>
      </c>
      <c r="D12" s="2">
        <v>1</v>
      </c>
      <c r="E12" s="5">
        <v>226190</v>
      </c>
      <c r="F12" s="5">
        <f t="shared" si="1"/>
        <v>5428560</v>
      </c>
    </row>
    <row r="13" spans="1:6" ht="15.6" x14ac:dyDescent="0.3">
      <c r="A13" s="2" t="s">
        <v>20</v>
      </c>
      <c r="B13" s="2" t="s">
        <v>2</v>
      </c>
      <c r="C13" s="2">
        <v>24</v>
      </c>
      <c r="D13" s="2">
        <v>1</v>
      </c>
      <c r="E13" s="5">
        <v>134875</v>
      </c>
      <c r="F13" s="5">
        <f t="shared" si="1"/>
        <v>3237000</v>
      </c>
    </row>
    <row r="14" spans="1:6" ht="15.6" x14ac:dyDescent="0.3">
      <c r="A14" s="2" t="s">
        <v>21</v>
      </c>
      <c r="B14" s="2" t="s">
        <v>2</v>
      </c>
      <c r="C14" s="2">
        <v>24</v>
      </c>
      <c r="D14" s="2">
        <v>1</v>
      </c>
      <c r="E14" s="5">
        <v>138416</v>
      </c>
      <c r="F14" s="5">
        <f t="shared" si="1"/>
        <v>3321984</v>
      </c>
    </row>
    <row r="15" spans="1:6" ht="15.6" x14ac:dyDescent="0.3">
      <c r="A15" s="2" t="s">
        <v>22</v>
      </c>
      <c r="B15" s="2" t="s">
        <v>2</v>
      </c>
      <c r="C15" s="2">
        <v>24</v>
      </c>
      <c r="D15" s="2">
        <v>1</v>
      </c>
      <c r="E15" s="5">
        <v>233333</v>
      </c>
      <c r="F15" s="5">
        <f t="shared" si="1"/>
        <v>5599992</v>
      </c>
    </row>
    <row r="16" spans="1:6" ht="15.6" x14ac:dyDescent="0.3">
      <c r="A16" s="2" t="s">
        <v>138</v>
      </c>
      <c r="B16" s="2" t="s">
        <v>2</v>
      </c>
      <c r="C16" s="2">
        <v>24</v>
      </c>
      <c r="D16" s="2">
        <v>1</v>
      </c>
      <c r="E16" s="5">
        <v>233333</v>
      </c>
      <c r="F16" s="5">
        <f t="shared" si="1"/>
        <v>5599992</v>
      </c>
    </row>
    <row r="17" spans="1:6" ht="15.6" x14ac:dyDescent="0.3">
      <c r="A17" s="2" t="s">
        <v>139</v>
      </c>
      <c r="B17" s="2" t="s">
        <v>2</v>
      </c>
      <c r="C17" s="2">
        <v>24</v>
      </c>
      <c r="D17" s="2">
        <v>1</v>
      </c>
      <c r="E17" s="5">
        <f>Tableau132[[#This Row],[Montant (Ar)]]/Tableau132[[#This Row],[Quantité]]</f>
        <v>250000</v>
      </c>
      <c r="F17" s="5">
        <v>6000000</v>
      </c>
    </row>
    <row r="18" spans="1:6" ht="15.6" x14ac:dyDescent="0.3">
      <c r="A18" s="2" t="s">
        <v>27</v>
      </c>
      <c r="B18" s="2" t="s">
        <v>2</v>
      </c>
      <c r="C18" s="2">
        <v>24</v>
      </c>
      <c r="D18" s="2">
        <v>1</v>
      </c>
      <c r="E18" s="5">
        <v>120000</v>
      </c>
      <c r="F18" s="5">
        <f t="shared" si="1"/>
        <v>2880000</v>
      </c>
    </row>
    <row r="19" spans="1:6" ht="15.6" x14ac:dyDescent="0.3">
      <c r="A19" s="53" t="s">
        <v>26</v>
      </c>
      <c r="B19" s="9"/>
      <c r="C19" s="9"/>
      <c r="D19" s="9"/>
      <c r="E19" s="10"/>
      <c r="F19" s="10"/>
    </row>
    <row r="20" spans="1:6" ht="15.6" x14ac:dyDescent="0.3">
      <c r="A20" s="2" t="s">
        <v>28</v>
      </c>
      <c r="B20" s="2" t="s">
        <v>5</v>
      </c>
      <c r="C20" s="2">
        <v>45.066000000000003</v>
      </c>
      <c r="D20" s="2">
        <v>1</v>
      </c>
      <c r="E20" s="5">
        <v>42850</v>
      </c>
      <c r="F20" s="5">
        <f>C20*D20*E20</f>
        <v>1931078.1</v>
      </c>
    </row>
    <row r="21" spans="1:6" ht="15.6" x14ac:dyDescent="0.3">
      <c r="A21" s="2" t="s">
        <v>14</v>
      </c>
      <c r="B21" s="2" t="s">
        <v>5</v>
      </c>
      <c r="C21" s="13">
        <f>'Production BSF'!A19/4/1000</f>
        <v>70.515000000000001</v>
      </c>
      <c r="D21" s="2">
        <v>1</v>
      </c>
      <c r="E21" s="5">
        <v>50000</v>
      </c>
      <c r="F21" s="5">
        <f>C21*D21*E21</f>
        <v>3525750</v>
      </c>
    </row>
    <row r="22" spans="1:6" ht="15.6" x14ac:dyDescent="0.3">
      <c r="A22" s="2" t="s">
        <v>15</v>
      </c>
      <c r="B22" s="2" t="s">
        <v>5</v>
      </c>
      <c r="C22" s="2">
        <v>17</v>
      </c>
      <c r="D22" s="2">
        <v>1</v>
      </c>
      <c r="E22" s="5">
        <v>800000</v>
      </c>
      <c r="F22" s="5">
        <f>C22*D22*E22</f>
        <v>13600000</v>
      </c>
    </row>
    <row r="23" spans="1:6" ht="15.6" x14ac:dyDescent="0.3">
      <c r="A23" s="2" t="s">
        <v>16</v>
      </c>
      <c r="B23" s="2" t="s">
        <v>5</v>
      </c>
      <c r="C23" s="2">
        <f>'Production BSF'!A19/1000*0.05</f>
        <v>14.103000000000002</v>
      </c>
      <c r="D23" s="2">
        <v>1</v>
      </c>
      <c r="E23" s="5">
        <v>80000</v>
      </c>
      <c r="F23" s="5">
        <f>C23*D23*E23</f>
        <v>1128240.0000000002</v>
      </c>
    </row>
    <row r="24" spans="1:6" ht="15.6" x14ac:dyDescent="0.3">
      <c r="A24" s="2" t="s">
        <v>29</v>
      </c>
      <c r="B24" s="2" t="s">
        <v>5</v>
      </c>
      <c r="C24" s="2">
        <f>'Production BSF'!A19*2/1000</f>
        <v>564.12</v>
      </c>
      <c r="D24" s="2">
        <v>1</v>
      </c>
      <c r="E24" s="5">
        <v>0</v>
      </c>
      <c r="F24" s="5">
        <f t="shared" ref="F24" si="2">C24*D24*E24</f>
        <v>0</v>
      </c>
    </row>
    <row r="25" spans="1:6" ht="15.6" x14ac:dyDescent="0.3">
      <c r="A25" s="2" t="s">
        <v>62</v>
      </c>
      <c r="B25" s="2" t="s">
        <v>1</v>
      </c>
      <c r="C25" s="30">
        <f>'Production BSF'!A19/30</f>
        <v>9402</v>
      </c>
      <c r="D25" s="2">
        <v>1</v>
      </c>
      <c r="E25" s="5">
        <v>1600</v>
      </c>
      <c r="F25" s="5">
        <f>C25*D25*E25</f>
        <v>15043200</v>
      </c>
    </row>
    <row r="26" spans="1:6" ht="15.6" x14ac:dyDescent="0.3">
      <c r="A26" s="2" t="s">
        <v>17</v>
      </c>
      <c r="B26" s="2" t="s">
        <v>18</v>
      </c>
      <c r="C26" s="2">
        <v>10</v>
      </c>
      <c r="D26" s="2">
        <v>2</v>
      </c>
      <c r="E26" s="5">
        <v>150000</v>
      </c>
      <c r="F26" s="5">
        <f>C26*D26*E26</f>
        <v>3000000</v>
      </c>
    </row>
    <row r="27" spans="1:6" ht="15.6" x14ac:dyDescent="0.3">
      <c r="A27" s="53" t="s">
        <v>30</v>
      </c>
      <c r="B27" s="9"/>
      <c r="C27" s="9"/>
      <c r="D27" s="9"/>
      <c r="E27" s="10"/>
      <c r="F27" s="10"/>
    </row>
    <row r="28" spans="1:6" ht="15.6" x14ac:dyDescent="0.3">
      <c r="A28" s="2" t="s">
        <v>94</v>
      </c>
      <c r="B28" s="2" t="s">
        <v>4</v>
      </c>
      <c r="C28" s="14">
        <f>(C24+C21)*0.5</f>
        <v>317.3175</v>
      </c>
      <c r="D28" s="2">
        <v>1</v>
      </c>
      <c r="E28" s="5">
        <v>4900</v>
      </c>
      <c r="F28" s="5">
        <f>C28*D28*E28</f>
        <v>1554855.75</v>
      </c>
    </row>
    <row r="29" spans="1:6" ht="15.6" x14ac:dyDescent="0.3">
      <c r="A29" s="2" t="s">
        <v>95</v>
      </c>
      <c r="B29" s="2" t="s">
        <v>4</v>
      </c>
      <c r="C29" s="14">
        <f>(C24+C22)*0.25</f>
        <v>145.28</v>
      </c>
      <c r="D29" s="2">
        <v>1</v>
      </c>
      <c r="E29" s="5">
        <v>4900</v>
      </c>
      <c r="F29" s="5">
        <f>C29*D29*E29</f>
        <v>711872</v>
      </c>
    </row>
    <row r="30" spans="1:6" ht="15.6" x14ac:dyDescent="0.3">
      <c r="A30" s="2" t="s">
        <v>23</v>
      </c>
      <c r="B30" s="2" t="s">
        <v>96</v>
      </c>
      <c r="C30" s="2">
        <v>20</v>
      </c>
      <c r="D30" s="2">
        <v>29</v>
      </c>
      <c r="E30" s="5">
        <v>51249</v>
      </c>
      <c r="F30" s="5">
        <f>C30*D30*E30</f>
        <v>29724420</v>
      </c>
    </row>
    <row r="31" spans="1:6" ht="15.6" x14ac:dyDescent="0.3">
      <c r="A31" s="53" t="s">
        <v>31</v>
      </c>
      <c r="B31" s="53"/>
      <c r="C31" s="9"/>
      <c r="D31" s="9"/>
      <c r="E31" s="10"/>
      <c r="F31" s="5"/>
    </row>
    <row r="32" spans="1:6" ht="15.6" x14ac:dyDescent="0.3">
      <c r="A32" s="2" t="s">
        <v>32</v>
      </c>
      <c r="B32" s="2" t="s">
        <v>18</v>
      </c>
      <c r="C32" s="5">
        <f>'Production BSF'!A19-('Production BSF'!C10+'Production BSF'!C11+'Production BSF'!C12+'Production BSF'!C13+'Production BSF'!C14+'Production BSF'!C15)</f>
        <v>112680</v>
      </c>
      <c r="D32" s="2">
        <v>1</v>
      </c>
      <c r="E32" s="5">
        <v>40</v>
      </c>
      <c r="F32" s="5">
        <f>C32*D32*E32</f>
        <v>4507200</v>
      </c>
    </row>
    <row r="33" spans="1:6" ht="15.6" x14ac:dyDescent="0.3">
      <c r="A33" s="2" t="s">
        <v>33</v>
      </c>
      <c r="B33" s="2" t="s">
        <v>18</v>
      </c>
      <c r="C33" s="5">
        <f>'Production BSF'!A19-('Production BSF'!C10+'Production BSF'!C11+'Production BSF'!C12+'Production BSF'!C13+'Production BSF'!C14+'Production BSF'!C15)</f>
        <v>112680</v>
      </c>
      <c r="D33">
        <v>1</v>
      </c>
      <c r="E33" s="5">
        <v>20</v>
      </c>
      <c r="F33" s="5">
        <f>C33*D33*E33</f>
        <v>2253600</v>
      </c>
    </row>
    <row r="34" spans="1:6" ht="15.6" x14ac:dyDescent="0.3">
      <c r="A34" s="2"/>
      <c r="B34" s="2"/>
      <c r="C34" s="5"/>
      <c r="D34" s="2"/>
      <c r="E34" s="5"/>
      <c r="F34" s="5"/>
    </row>
    <row r="35" spans="1:6" ht="15.6" x14ac:dyDescent="0.3">
      <c r="A35" s="53" t="s">
        <v>97</v>
      </c>
      <c r="B35" s="9"/>
      <c r="C35" s="9"/>
      <c r="D35" s="9"/>
      <c r="E35" s="10"/>
      <c r="F35" s="5"/>
    </row>
    <row r="36" spans="1:6" ht="15.6" x14ac:dyDescent="0.3">
      <c r="A36" s="31" t="s">
        <v>98</v>
      </c>
      <c r="B36" s="31" t="s">
        <v>100</v>
      </c>
      <c r="C36" s="32">
        <v>3</v>
      </c>
      <c r="D36" s="32">
        <v>24</v>
      </c>
      <c r="E36" s="8">
        <v>50000</v>
      </c>
      <c r="F36" s="5">
        <f>Tableau132[[#This Row],[Quantité]]*Tableau132[[#This Row],[Multiplicateur]]*Tableau132[[#This Row],[Unitaire (Ar)]]</f>
        <v>3600000</v>
      </c>
    </row>
    <row r="37" spans="1:6" ht="15.6" x14ac:dyDescent="0.3">
      <c r="A37" s="31" t="s">
        <v>99</v>
      </c>
      <c r="B37" s="31" t="s">
        <v>101</v>
      </c>
      <c r="C37" s="32">
        <v>1</v>
      </c>
      <c r="D37" s="32">
        <v>24</v>
      </c>
      <c r="E37" s="8">
        <v>100000</v>
      </c>
      <c r="F37" s="5">
        <f>Tableau132[[#This Row],[Quantité]]*Tableau132[[#This Row],[Multiplicateur]]*Tableau132[[#This Row],[Unitaire (Ar)]]</f>
        <v>2400000</v>
      </c>
    </row>
    <row r="38" spans="1:6" ht="15.6" x14ac:dyDescent="0.3">
      <c r="E38" s="5" t="s">
        <v>63</v>
      </c>
      <c r="F38" s="6">
        <f>SUBTOTAL(109,F2:F37)</f>
        <v>269446743.85000002</v>
      </c>
    </row>
    <row r="39" spans="1:6" ht="15.6" x14ac:dyDescent="0.3">
      <c r="D39" s="50"/>
      <c r="E39" s="54" t="s">
        <v>128</v>
      </c>
      <c r="F39" s="55">
        <f>F38/'Production BSF'!A19</f>
        <v>955.28165585336467</v>
      </c>
    </row>
    <row r="40" spans="1:6" x14ac:dyDescent="0.3">
      <c r="E40"/>
      <c r="F40"/>
    </row>
    <row r="41" spans="1:6" x14ac:dyDescent="0.3">
      <c r="E41"/>
      <c r="F41"/>
    </row>
  </sheetData>
  <pageMargins left="0.7" right="0.7" top="0.75" bottom="0.75" header="0.3" footer="0.3"/>
  <pageSetup paperSize="9" scale="9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E12B-10D4-4E65-B50C-4EC061D471D6}">
  <sheetPr>
    <tabColor rgb="FF00B050"/>
    <pageSetUpPr fitToPage="1"/>
  </sheetPr>
  <dimension ref="A1:G20"/>
  <sheetViews>
    <sheetView workbookViewId="0">
      <selection activeCell="A19" sqref="A19"/>
    </sheetView>
  </sheetViews>
  <sheetFormatPr defaultColWidth="9.109375" defaultRowHeight="14.4" x14ac:dyDescent="0.3"/>
  <cols>
    <col min="1" max="1" width="16.88671875" bestFit="1" customWidth="1"/>
    <col min="2" max="2" width="21.109375" bestFit="1" customWidth="1"/>
    <col min="3" max="3" width="15.109375" bestFit="1" customWidth="1"/>
    <col min="4" max="4" width="17.33203125" bestFit="1" customWidth="1"/>
    <col min="5" max="5" width="17.44140625" bestFit="1" customWidth="1"/>
    <col min="6" max="6" width="14.44140625" bestFit="1" customWidth="1"/>
    <col min="7" max="7" width="17.44140625" bestFit="1" customWidth="1"/>
    <col min="8" max="8" width="18.109375" bestFit="1" customWidth="1"/>
    <col min="9" max="9" width="9.109375" bestFit="1" customWidth="1"/>
    <col min="10" max="10" width="11.109375" bestFit="1" customWidth="1"/>
  </cols>
  <sheetData>
    <row r="1" spans="1:7" ht="15.6" x14ac:dyDescent="0.3">
      <c r="A1" s="11" t="s">
        <v>56</v>
      </c>
      <c r="B1" s="11" t="s">
        <v>1</v>
      </c>
      <c r="C1" s="1" t="s">
        <v>55</v>
      </c>
      <c r="D1" s="1" t="s">
        <v>54</v>
      </c>
      <c r="E1" s="11" t="s">
        <v>53</v>
      </c>
      <c r="F1" s="46" t="s">
        <v>131</v>
      </c>
      <c r="G1" s="46"/>
    </row>
    <row r="2" spans="1:7" ht="15.6" x14ac:dyDescent="0.3">
      <c r="A2" s="15">
        <v>67</v>
      </c>
      <c r="B2" s="15" t="s">
        <v>37</v>
      </c>
      <c r="C2" s="15">
        <f>A2*30</f>
        <v>2010</v>
      </c>
      <c r="D2" s="2" t="s">
        <v>52</v>
      </c>
      <c r="E2" s="2" t="s">
        <v>51</v>
      </c>
      <c r="F2" s="46"/>
      <c r="G2" s="46"/>
    </row>
    <row r="3" spans="1:7" ht="15.6" x14ac:dyDescent="0.3">
      <c r="A3" s="15">
        <v>517</v>
      </c>
      <c r="B3" s="15" t="s">
        <v>46</v>
      </c>
      <c r="C3" s="15">
        <f>A3*90</f>
        <v>46530</v>
      </c>
      <c r="D3" s="2" t="s">
        <v>50</v>
      </c>
      <c r="E3" s="2" t="s">
        <v>49</v>
      </c>
      <c r="F3" s="46"/>
      <c r="G3" s="46"/>
    </row>
    <row r="4" spans="1:7" ht="15.6" x14ac:dyDescent="0.3">
      <c r="A4" s="15">
        <v>19000</v>
      </c>
      <c r="B4" s="15" t="s">
        <v>40</v>
      </c>
      <c r="C4" s="15">
        <v>19000</v>
      </c>
      <c r="D4" s="2" t="s">
        <v>48</v>
      </c>
      <c r="E4" s="2" t="s">
        <v>47</v>
      </c>
      <c r="F4" s="46"/>
      <c r="G4" s="46"/>
    </row>
    <row r="5" spans="1:7" ht="15.6" x14ac:dyDescent="0.3">
      <c r="A5" s="15"/>
      <c r="B5" s="15" t="s">
        <v>40</v>
      </c>
      <c r="C5" s="15">
        <v>4000</v>
      </c>
      <c r="D5" s="2" t="s">
        <v>74</v>
      </c>
      <c r="E5" s="2"/>
      <c r="F5" s="46"/>
      <c r="G5" s="46"/>
    </row>
    <row r="6" spans="1:7" ht="15.6" x14ac:dyDescent="0.3">
      <c r="A6" s="15"/>
      <c r="B6" s="15" t="s">
        <v>40</v>
      </c>
      <c r="C6" s="15">
        <v>2000</v>
      </c>
      <c r="D6" s="2" t="s">
        <v>75</v>
      </c>
      <c r="E6" s="2"/>
      <c r="F6" s="46"/>
      <c r="G6" s="46"/>
    </row>
    <row r="7" spans="1:7" ht="15.6" x14ac:dyDescent="0.3">
      <c r="A7" s="15">
        <v>145</v>
      </c>
      <c r="B7" s="15" t="s">
        <v>46</v>
      </c>
      <c r="C7" s="15">
        <f>A7*90</f>
        <v>13050</v>
      </c>
      <c r="D7" s="2" t="s">
        <v>45</v>
      </c>
      <c r="E7" s="2" t="s">
        <v>44</v>
      </c>
      <c r="F7" s="46"/>
      <c r="G7" s="46"/>
    </row>
    <row r="8" spans="1:7" ht="15.6" x14ac:dyDescent="0.3">
      <c r="A8" s="15">
        <v>100</v>
      </c>
      <c r="B8" s="15" t="s">
        <v>43</v>
      </c>
      <c r="C8" s="15">
        <f>A8*215</f>
        <v>21500</v>
      </c>
      <c r="D8" s="2" t="s">
        <v>42</v>
      </c>
      <c r="E8" s="2" t="s">
        <v>41</v>
      </c>
      <c r="F8" s="46"/>
      <c r="G8" s="46"/>
    </row>
    <row r="9" spans="1:7" ht="15.6" x14ac:dyDescent="0.3">
      <c r="A9" s="15">
        <v>51</v>
      </c>
      <c r="B9" s="15" t="s">
        <v>46</v>
      </c>
      <c r="C9" s="15">
        <v>4590</v>
      </c>
      <c r="D9" s="2" t="s">
        <v>72</v>
      </c>
      <c r="E9" s="2" t="s">
        <v>73</v>
      </c>
      <c r="F9" s="46"/>
      <c r="G9" s="46"/>
    </row>
    <row r="10" spans="1:7" ht="15.6" x14ac:dyDescent="0.3">
      <c r="A10" s="15">
        <v>23000</v>
      </c>
      <c r="B10" s="15" t="s">
        <v>40</v>
      </c>
      <c r="C10" s="15">
        <v>23000</v>
      </c>
      <c r="D10" s="2" t="s">
        <v>39</v>
      </c>
      <c r="E10" s="2" t="s">
        <v>38</v>
      </c>
      <c r="F10" s="46"/>
      <c r="G10" s="46"/>
    </row>
    <row r="11" spans="1:7" ht="15.6" x14ac:dyDescent="0.3">
      <c r="A11" s="15">
        <v>385</v>
      </c>
      <c r="B11" s="15" t="s">
        <v>37</v>
      </c>
      <c r="C11" s="15">
        <v>11500</v>
      </c>
      <c r="D11" s="2" t="s">
        <v>36</v>
      </c>
      <c r="E11" s="2" t="s">
        <v>35</v>
      </c>
      <c r="F11" s="46"/>
      <c r="G11" s="46"/>
    </row>
    <row r="12" spans="1:7" ht="15.6" x14ac:dyDescent="0.3">
      <c r="A12" s="15">
        <v>1486</v>
      </c>
      <c r="B12" s="15" t="s">
        <v>37</v>
      </c>
      <c r="C12" s="15">
        <f>A12*30</f>
        <v>44580</v>
      </c>
      <c r="D12" s="2"/>
      <c r="E12" s="2"/>
      <c r="F12" s="46"/>
      <c r="G12" s="46"/>
    </row>
    <row r="13" spans="1:7" ht="15.6" x14ac:dyDescent="0.3">
      <c r="A13" s="15">
        <v>964</v>
      </c>
      <c r="B13" s="46"/>
      <c r="C13" s="15">
        <f t="shared" ref="C13:C15" si="0">A13*30</f>
        <v>28920</v>
      </c>
      <c r="D13" s="46"/>
      <c r="E13" s="46"/>
      <c r="F13" s="46"/>
      <c r="G13" s="46"/>
    </row>
    <row r="14" spans="1:7" ht="15.6" x14ac:dyDescent="0.3">
      <c r="A14" s="15">
        <v>703</v>
      </c>
      <c r="B14" s="46"/>
      <c r="C14" s="15">
        <f t="shared" si="0"/>
        <v>21090</v>
      </c>
      <c r="D14" s="46"/>
      <c r="E14" s="46"/>
      <c r="F14" s="46"/>
      <c r="G14" s="46"/>
    </row>
    <row r="15" spans="1:7" ht="15.6" x14ac:dyDescent="0.3">
      <c r="A15" s="15">
        <v>1343</v>
      </c>
      <c r="B15" s="46"/>
      <c r="C15" s="15">
        <f t="shared" si="0"/>
        <v>40290</v>
      </c>
      <c r="D15" s="46"/>
      <c r="E15" s="46"/>
      <c r="F15" s="46"/>
      <c r="G15" s="46"/>
    </row>
    <row r="16" spans="1:7" x14ac:dyDescent="0.3">
      <c r="A16" s="46"/>
      <c r="B16" s="46"/>
      <c r="C16" s="46"/>
      <c r="D16" s="46"/>
      <c r="E16" s="46"/>
      <c r="F16" s="46"/>
      <c r="G16" s="46"/>
    </row>
    <row r="17" spans="1:7" x14ac:dyDescent="0.3">
      <c r="A17" s="46"/>
      <c r="B17" s="46"/>
      <c r="C17" s="46"/>
      <c r="D17" s="46"/>
      <c r="E17" s="46"/>
      <c r="F17" s="46"/>
      <c r="G17" s="46"/>
    </row>
    <row r="18" spans="1:7" x14ac:dyDescent="0.3">
      <c r="A18" s="48" t="s">
        <v>116</v>
      </c>
      <c r="B18" s="48" t="s">
        <v>117</v>
      </c>
      <c r="C18" s="48" t="s">
        <v>118</v>
      </c>
      <c r="D18" s="48" t="s">
        <v>119</v>
      </c>
      <c r="E18" s="48" t="s">
        <v>120</v>
      </c>
      <c r="F18" s="48" t="s">
        <v>121</v>
      </c>
    </row>
    <row r="19" spans="1:7" ht="15.6" x14ac:dyDescent="0.3">
      <c r="A19" s="42">
        <f>SUM(C2:C15)</f>
        <v>282060</v>
      </c>
      <c r="B19" s="2">
        <v>24</v>
      </c>
      <c r="C19" s="47">
        <f>A19/B19</f>
        <v>11752.5</v>
      </c>
      <c r="D19" s="2">
        <v>20</v>
      </c>
      <c r="E19" s="47">
        <f>C19/D19</f>
        <v>587.625</v>
      </c>
      <c r="F19" s="2">
        <f>D19*B19</f>
        <v>480</v>
      </c>
    </row>
    <row r="20" spans="1:7" ht="15.6" x14ac:dyDescent="0.3">
      <c r="A20" s="46"/>
      <c r="B20" s="46"/>
      <c r="C20" s="46"/>
      <c r="D20" s="2"/>
      <c r="E20" s="2"/>
      <c r="G20" s="2"/>
    </row>
  </sheetData>
  <pageMargins left="0.7" right="0.7" top="0.75" bottom="0.75" header="0.3" footer="0.3"/>
  <pageSetup paperSize="9" scale="73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09B0-F0BB-4274-BDB0-44AF07E67201}">
  <sheetPr>
    <tabColor rgb="FF00B050"/>
  </sheetPr>
  <dimension ref="A1:E14"/>
  <sheetViews>
    <sheetView workbookViewId="0">
      <selection activeCell="D10" sqref="D10"/>
    </sheetView>
  </sheetViews>
  <sheetFormatPr defaultColWidth="9.109375" defaultRowHeight="14.4" x14ac:dyDescent="0.3"/>
  <cols>
    <col min="1" max="1" width="10.44140625" customWidth="1"/>
    <col min="2" max="2" width="12.44140625" bestFit="1" customWidth="1"/>
    <col min="3" max="3" width="12.44140625" customWidth="1"/>
    <col min="4" max="4" width="15" bestFit="1" customWidth="1"/>
    <col min="5" max="5" width="11.5546875" bestFit="1" customWidth="1"/>
  </cols>
  <sheetData>
    <row r="1" spans="1:5" ht="15.6" x14ac:dyDescent="0.3">
      <c r="A1" s="58" t="s">
        <v>61</v>
      </c>
      <c r="B1" s="58" t="s">
        <v>3</v>
      </c>
      <c r="C1" s="58" t="s">
        <v>8</v>
      </c>
      <c r="D1" s="58" t="s">
        <v>7</v>
      </c>
      <c r="E1" s="58" t="s">
        <v>53</v>
      </c>
    </row>
    <row r="2" spans="1:5" ht="15.6" x14ac:dyDescent="0.3">
      <c r="A2" s="2" t="s">
        <v>60</v>
      </c>
      <c r="B2" s="15">
        <v>15600</v>
      </c>
      <c r="C2" s="15">
        <v>4540</v>
      </c>
      <c r="D2" s="15">
        <f>B2*C2</f>
        <v>70824000</v>
      </c>
      <c r="E2" s="32" t="s">
        <v>49</v>
      </c>
    </row>
    <row r="3" spans="1:5" ht="15.6" x14ac:dyDescent="0.3">
      <c r="A3" s="2" t="s">
        <v>59</v>
      </c>
      <c r="B3" s="15">
        <v>6000</v>
      </c>
      <c r="C3" s="15">
        <v>3800</v>
      </c>
      <c r="D3" s="15">
        <f t="shared" ref="D3:D8" si="0">B3*C3</f>
        <v>22800000</v>
      </c>
      <c r="E3" s="32" t="s">
        <v>49</v>
      </c>
    </row>
    <row r="4" spans="1:5" ht="15.6" x14ac:dyDescent="0.3">
      <c r="A4" s="2" t="s">
        <v>60</v>
      </c>
      <c r="B4" s="15">
        <v>5400</v>
      </c>
      <c r="C4" s="15">
        <v>3800</v>
      </c>
      <c r="D4" s="15">
        <f t="shared" si="0"/>
        <v>20520000</v>
      </c>
      <c r="E4" s="56">
        <v>45536</v>
      </c>
    </row>
    <row r="5" spans="1:5" ht="15.6" x14ac:dyDescent="0.3">
      <c r="A5" s="2" t="s">
        <v>60</v>
      </c>
      <c r="B5" s="15">
        <v>650</v>
      </c>
      <c r="C5" s="15">
        <v>4300</v>
      </c>
      <c r="D5" s="15">
        <f t="shared" si="0"/>
        <v>2795000</v>
      </c>
      <c r="E5" s="56" t="s">
        <v>86</v>
      </c>
    </row>
    <row r="6" spans="1:5" ht="15.6" x14ac:dyDescent="0.3">
      <c r="A6" s="2" t="s">
        <v>59</v>
      </c>
      <c r="B6" s="15">
        <v>500</v>
      </c>
      <c r="C6" s="15">
        <v>4000</v>
      </c>
      <c r="D6" s="15">
        <f t="shared" si="0"/>
        <v>2000000</v>
      </c>
      <c r="E6" s="56">
        <v>45597</v>
      </c>
    </row>
    <row r="7" spans="1:5" ht="15.6" x14ac:dyDescent="0.3">
      <c r="A7" s="2" t="s">
        <v>58</v>
      </c>
      <c r="B7" s="15">
        <v>2800</v>
      </c>
      <c r="C7" s="15">
        <v>4500</v>
      </c>
      <c r="D7" s="15">
        <f t="shared" si="0"/>
        <v>12600000</v>
      </c>
      <c r="E7" s="32" t="s">
        <v>44</v>
      </c>
    </row>
    <row r="8" spans="1:5" ht="15.6" x14ac:dyDescent="0.3">
      <c r="A8" s="2" t="s">
        <v>57</v>
      </c>
      <c r="B8" s="15">
        <v>25000</v>
      </c>
      <c r="C8" s="15">
        <v>300</v>
      </c>
      <c r="D8" s="15">
        <f t="shared" si="0"/>
        <v>7500000</v>
      </c>
      <c r="E8" s="32" t="s">
        <v>44</v>
      </c>
    </row>
    <row r="9" spans="1:5" ht="15.6" x14ac:dyDescent="0.3">
      <c r="A9" s="2"/>
      <c r="B9" s="2"/>
      <c r="C9" s="2"/>
      <c r="D9" s="2"/>
      <c r="E9" s="2"/>
    </row>
    <row r="10" spans="1:5" ht="15.6" x14ac:dyDescent="0.3">
      <c r="A10" s="2"/>
      <c r="B10" s="2"/>
      <c r="C10" s="2"/>
      <c r="D10" s="57">
        <f>SUM(D2:D9)</f>
        <v>139039000</v>
      </c>
      <c r="E10" s="2"/>
    </row>
    <row r="11" spans="1:5" ht="15.6" x14ac:dyDescent="0.3">
      <c r="A11" s="12"/>
      <c r="B11" s="12"/>
      <c r="C11" s="12"/>
      <c r="D11" s="12"/>
      <c r="E11" s="12"/>
    </row>
    <row r="12" spans="1:5" ht="15.6" x14ac:dyDescent="0.3">
      <c r="A12" s="12"/>
      <c r="B12" s="12"/>
      <c r="C12" s="12"/>
      <c r="D12" s="12"/>
      <c r="E12" s="12"/>
    </row>
    <row r="13" spans="1:5" ht="15.6" x14ac:dyDescent="0.3">
      <c r="A13" s="12"/>
      <c r="B13" s="12"/>
      <c r="C13" s="12"/>
      <c r="D13" s="12"/>
      <c r="E13" s="12"/>
    </row>
    <row r="14" spans="1:5" ht="15.6" x14ac:dyDescent="0.3">
      <c r="A14" s="12"/>
      <c r="B14" s="12"/>
      <c r="C14" s="12"/>
      <c r="D14" s="12"/>
      <c r="E14" s="12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82E9-D720-459E-B03A-99A8F75C9477}">
  <sheetPr>
    <tabColor rgb="FF00B0F0"/>
  </sheetPr>
  <dimension ref="A1:K40"/>
  <sheetViews>
    <sheetView tabSelected="1" topLeftCell="A20" zoomScale="140" zoomScaleNormal="140" workbookViewId="0">
      <selection activeCell="F40" sqref="F40"/>
    </sheetView>
  </sheetViews>
  <sheetFormatPr defaultColWidth="11.5546875" defaultRowHeight="14.4" x14ac:dyDescent="0.3"/>
  <cols>
    <col min="1" max="1" width="34.88671875" bestFit="1" customWidth="1"/>
    <col min="5" max="5" width="13.5546875" bestFit="1" customWidth="1"/>
    <col min="6" max="6" width="24" bestFit="1" customWidth="1"/>
    <col min="7" max="7" width="25" bestFit="1" customWidth="1"/>
    <col min="10" max="10" width="13.88671875" customWidth="1"/>
    <col min="11" max="11" width="13.88671875" bestFit="1" customWidth="1"/>
  </cols>
  <sheetData>
    <row r="1" spans="1:11" ht="15.6" x14ac:dyDescent="0.3">
      <c r="A1" s="59" t="s">
        <v>122</v>
      </c>
      <c r="B1" s="11" t="s">
        <v>1</v>
      </c>
      <c r="C1" s="11" t="s">
        <v>3</v>
      </c>
      <c r="D1" s="11" t="s">
        <v>8</v>
      </c>
      <c r="E1" s="11" t="s">
        <v>0</v>
      </c>
      <c r="F1" s="69" t="s">
        <v>123</v>
      </c>
      <c r="G1" s="69"/>
      <c r="H1" s="69"/>
      <c r="I1" s="69"/>
      <c r="J1" s="69"/>
      <c r="K1" s="11"/>
    </row>
    <row r="2" spans="1:11" s="11" customFormat="1" ht="15.6" x14ac:dyDescent="0.3">
      <c r="A2" s="11" t="s">
        <v>10</v>
      </c>
      <c r="F2" s="62" t="s">
        <v>10</v>
      </c>
      <c r="G2" s="62" t="s">
        <v>1</v>
      </c>
      <c r="H2" s="62" t="s">
        <v>3</v>
      </c>
      <c r="I2" s="62" t="s">
        <v>8</v>
      </c>
      <c r="J2" s="62" t="s">
        <v>0</v>
      </c>
    </row>
    <row r="3" spans="1:11" ht="15.6" x14ac:dyDescent="0.3">
      <c r="A3" s="5" t="s">
        <v>64</v>
      </c>
      <c r="B3" s="5" t="s">
        <v>34</v>
      </c>
      <c r="C3" s="5">
        <v>2000</v>
      </c>
      <c r="D3" s="5">
        <v>1700</v>
      </c>
      <c r="E3" s="29">
        <f>C3*D3</f>
        <v>3400000</v>
      </c>
      <c r="F3" s="38" t="s">
        <v>106</v>
      </c>
      <c r="G3" s="38" t="s">
        <v>18</v>
      </c>
      <c r="H3" s="25">
        <f>58*215</f>
        <v>12470</v>
      </c>
      <c r="I3" s="25">
        <v>2100</v>
      </c>
      <c r="J3" s="25">
        <f>H3*I3</f>
        <v>26187000</v>
      </c>
    </row>
    <row r="4" spans="1:11" ht="15.6" x14ac:dyDescent="0.3">
      <c r="A4" s="5" t="s">
        <v>70</v>
      </c>
      <c r="B4" s="5" t="s">
        <v>34</v>
      </c>
      <c r="C4" s="5">
        <f>107*75</f>
        <v>8025</v>
      </c>
      <c r="D4" s="5">
        <v>1980</v>
      </c>
      <c r="E4" s="5">
        <f>C4*D4</f>
        <v>15889500</v>
      </c>
      <c r="F4" s="38" t="s">
        <v>78</v>
      </c>
      <c r="G4" s="38" t="s">
        <v>18</v>
      </c>
      <c r="H4" s="25">
        <f>58*110</f>
        <v>6380</v>
      </c>
      <c r="I4" s="25">
        <v>5800</v>
      </c>
      <c r="J4" s="25">
        <f>H4*I4</f>
        <v>37004000</v>
      </c>
    </row>
    <row r="5" spans="1:11" ht="15.6" x14ac:dyDescent="0.3">
      <c r="A5" s="5" t="s">
        <v>69</v>
      </c>
      <c r="B5" s="5" t="s">
        <v>34</v>
      </c>
      <c r="C5" s="5">
        <f>406*75</f>
        <v>30450</v>
      </c>
      <c r="D5" s="5">
        <v>1890</v>
      </c>
      <c r="E5" s="5">
        <f t="shared" ref="E5:E18" si="0">C5*D5</f>
        <v>57550500</v>
      </c>
      <c r="F5" s="38" t="s">
        <v>82</v>
      </c>
      <c r="G5" s="38" t="s">
        <v>18</v>
      </c>
      <c r="H5" s="25">
        <f>58*14</f>
        <v>812</v>
      </c>
      <c r="I5" s="25">
        <v>5500</v>
      </c>
      <c r="J5" s="25">
        <f>H5*I5</f>
        <v>4466000</v>
      </c>
    </row>
    <row r="6" spans="1:11" ht="15.6" x14ac:dyDescent="0.3">
      <c r="A6" s="5" t="s">
        <v>89</v>
      </c>
      <c r="B6" s="5" t="s">
        <v>18</v>
      </c>
      <c r="C6" s="5">
        <f>46*75</f>
        <v>3450</v>
      </c>
      <c r="D6" s="5">
        <v>1890</v>
      </c>
      <c r="E6" s="5">
        <f t="shared" si="0"/>
        <v>6520500</v>
      </c>
      <c r="F6" s="38" t="s">
        <v>83</v>
      </c>
      <c r="G6" s="38" t="s">
        <v>18</v>
      </c>
      <c r="H6" s="25">
        <f>58*1250</f>
        <v>72500</v>
      </c>
      <c r="I6" s="25">
        <v>100</v>
      </c>
      <c r="J6" s="25">
        <f>H6*I6</f>
        <v>7250000</v>
      </c>
    </row>
    <row r="7" spans="1:11" ht="15.6" x14ac:dyDescent="0.3">
      <c r="A7" s="5" t="s">
        <v>65</v>
      </c>
      <c r="B7" s="5" t="s">
        <v>18</v>
      </c>
      <c r="C7" s="5">
        <f>42*215</f>
        <v>9030</v>
      </c>
      <c r="D7" s="5">
        <v>2100</v>
      </c>
      <c r="E7" s="5">
        <f t="shared" si="0"/>
        <v>18963000</v>
      </c>
      <c r="F7" s="23"/>
      <c r="G7" s="39"/>
      <c r="H7" s="39"/>
      <c r="I7" s="37" t="s">
        <v>124</v>
      </c>
      <c r="J7" s="40">
        <f>SUM(J3:J6)</f>
        <v>74907000</v>
      </c>
    </row>
    <row r="8" spans="1:11" ht="15.6" x14ac:dyDescent="0.3">
      <c r="A8" s="5" t="s">
        <v>66</v>
      </c>
      <c r="B8" s="5" t="s">
        <v>18</v>
      </c>
      <c r="C8" s="5">
        <v>19000</v>
      </c>
      <c r="D8" s="5">
        <v>1000</v>
      </c>
      <c r="E8" s="41">
        <f t="shared" si="0"/>
        <v>19000000</v>
      </c>
      <c r="F8" s="15"/>
    </row>
    <row r="9" spans="1:11" ht="15.6" x14ac:dyDescent="0.3">
      <c r="A9" s="5" t="s">
        <v>67</v>
      </c>
      <c r="B9" s="5" t="s">
        <v>34</v>
      </c>
      <c r="C9" s="5">
        <v>4000</v>
      </c>
      <c r="D9" s="5">
        <v>2000</v>
      </c>
      <c r="E9" s="41">
        <f t="shared" si="0"/>
        <v>8000000</v>
      </c>
      <c r="F9" s="15"/>
    </row>
    <row r="10" spans="1:11" ht="15.6" x14ac:dyDescent="0.3">
      <c r="A10" s="5" t="s">
        <v>68</v>
      </c>
      <c r="B10" s="5" t="s">
        <v>18</v>
      </c>
      <c r="C10" s="5">
        <v>2000</v>
      </c>
      <c r="D10" s="5">
        <v>2000</v>
      </c>
      <c r="E10" s="41">
        <f t="shared" si="0"/>
        <v>4000000</v>
      </c>
      <c r="F10" s="15"/>
    </row>
    <row r="11" spans="1:11" ht="15.6" x14ac:dyDescent="0.3">
      <c r="A11" s="5" t="s">
        <v>71</v>
      </c>
      <c r="B11" s="5" t="s">
        <v>18</v>
      </c>
      <c r="C11" s="5">
        <f>51*75</f>
        <v>3825</v>
      </c>
      <c r="D11" s="5">
        <v>1890</v>
      </c>
      <c r="E11" s="29">
        <f t="shared" si="0"/>
        <v>7229250</v>
      </c>
      <c r="F11" s="15"/>
    </row>
    <row r="12" spans="1:11" ht="15.6" x14ac:dyDescent="0.3">
      <c r="A12" s="5" t="s">
        <v>64</v>
      </c>
      <c r="B12" s="5" t="s">
        <v>18</v>
      </c>
      <c r="C12" s="5">
        <v>1000</v>
      </c>
      <c r="D12" s="5">
        <v>1700</v>
      </c>
      <c r="E12" s="29">
        <f t="shared" si="0"/>
        <v>1700000</v>
      </c>
      <c r="F12" s="15"/>
    </row>
    <row r="13" spans="1:11" ht="15.6" x14ac:dyDescent="0.3">
      <c r="A13" s="5" t="s">
        <v>90</v>
      </c>
      <c r="B13" s="5" t="s">
        <v>34</v>
      </c>
      <c r="C13" s="5">
        <f>98*75</f>
        <v>7350</v>
      </c>
      <c r="D13" s="5">
        <v>1890</v>
      </c>
      <c r="E13" s="29">
        <f t="shared" si="0"/>
        <v>13891500</v>
      </c>
      <c r="F13" s="15"/>
    </row>
    <row r="14" spans="1:11" ht="15.6" x14ac:dyDescent="0.3">
      <c r="A14" s="5" t="s">
        <v>91</v>
      </c>
      <c r="B14" s="5" t="s">
        <v>18</v>
      </c>
      <c r="C14" s="5">
        <f>217*75</f>
        <v>16275</v>
      </c>
      <c r="D14" s="5">
        <v>1890</v>
      </c>
      <c r="E14" s="29">
        <f t="shared" si="0"/>
        <v>30759750</v>
      </c>
      <c r="F14" s="15"/>
    </row>
    <row r="15" spans="1:11" ht="15.6" x14ac:dyDescent="0.3">
      <c r="A15" s="60" t="s">
        <v>129</v>
      </c>
      <c r="B15" s="60" t="s">
        <v>18</v>
      </c>
      <c r="C15" s="60">
        <v>75</v>
      </c>
      <c r="D15" s="60">
        <v>2000</v>
      </c>
      <c r="E15" s="60">
        <f t="shared" si="0"/>
        <v>150000</v>
      </c>
      <c r="F15" s="15"/>
    </row>
    <row r="16" spans="1:11" ht="15.6" x14ac:dyDescent="0.3">
      <c r="A16" s="60" t="s">
        <v>130</v>
      </c>
      <c r="B16" s="60" t="s">
        <v>18</v>
      </c>
      <c r="C16" s="60">
        <v>200</v>
      </c>
      <c r="D16" s="60">
        <v>2000</v>
      </c>
      <c r="E16" s="60">
        <f t="shared" si="0"/>
        <v>400000</v>
      </c>
      <c r="F16" s="15"/>
    </row>
    <row r="17" spans="1:7" ht="15.6" x14ac:dyDescent="0.3">
      <c r="A17" s="60" t="s">
        <v>133</v>
      </c>
      <c r="B17" s="60" t="s">
        <v>18</v>
      </c>
      <c r="C17" s="60">
        <v>10000</v>
      </c>
      <c r="D17" s="60">
        <v>1000</v>
      </c>
      <c r="E17" s="60">
        <f t="shared" si="0"/>
        <v>10000000</v>
      </c>
      <c r="F17" s="15"/>
    </row>
    <row r="18" spans="1:7" ht="15.6" x14ac:dyDescent="0.3">
      <c r="A18" s="60" t="s">
        <v>134</v>
      </c>
      <c r="B18" s="60" t="s">
        <v>18</v>
      </c>
      <c r="C18" s="60"/>
      <c r="D18" s="60">
        <v>1800</v>
      </c>
      <c r="E18" s="60">
        <f t="shared" si="0"/>
        <v>0</v>
      </c>
      <c r="F18" s="15"/>
    </row>
    <row r="19" spans="1:7" ht="15.6" x14ac:dyDescent="0.3">
      <c r="C19" s="16">
        <f>SUM(C3:C14)</f>
        <v>106405</v>
      </c>
      <c r="D19" s="17"/>
      <c r="E19" s="16">
        <f>SUM(E3:E18)</f>
        <v>197454000</v>
      </c>
      <c r="F19" s="15"/>
    </row>
    <row r="20" spans="1:7" ht="15.6" x14ac:dyDescent="0.3">
      <c r="F20" s="15"/>
    </row>
    <row r="21" spans="1:7" ht="15.6" x14ac:dyDescent="0.3">
      <c r="A21" s="5" t="s">
        <v>76</v>
      </c>
      <c r="B21" s="5" t="s">
        <v>18</v>
      </c>
      <c r="C21" s="15">
        <f>107*15</f>
        <v>1605</v>
      </c>
      <c r="D21" s="5">
        <v>5400</v>
      </c>
      <c r="E21" s="15">
        <f>C21*D21</f>
        <v>8667000</v>
      </c>
      <c r="F21" s="15"/>
    </row>
    <row r="22" spans="1:7" ht="15.6" x14ac:dyDescent="0.3">
      <c r="A22" s="5" t="s">
        <v>77</v>
      </c>
      <c r="B22" s="5" t="s">
        <v>18</v>
      </c>
      <c r="C22" s="15">
        <f>406*15</f>
        <v>6090</v>
      </c>
      <c r="D22" s="5">
        <v>5220</v>
      </c>
      <c r="E22" s="15">
        <f t="shared" ref="E22:E27" si="1">C22*D22</f>
        <v>31789800</v>
      </c>
      <c r="F22" s="15"/>
    </row>
    <row r="23" spans="1:7" ht="15.6" x14ac:dyDescent="0.3">
      <c r="A23" s="5" t="s">
        <v>102</v>
      </c>
      <c r="B23" s="5" t="s">
        <v>18</v>
      </c>
      <c r="C23" s="15">
        <f>46*15</f>
        <v>690</v>
      </c>
      <c r="D23" s="5">
        <v>5220</v>
      </c>
      <c r="E23" s="15">
        <f t="shared" si="1"/>
        <v>3601800</v>
      </c>
      <c r="F23" s="15"/>
      <c r="G23" s="24"/>
    </row>
    <row r="24" spans="1:7" ht="15.6" x14ac:dyDescent="0.3">
      <c r="A24" s="5" t="s">
        <v>78</v>
      </c>
      <c r="B24" s="5" t="s">
        <v>18</v>
      </c>
      <c r="C24" s="15">
        <f>42*110</f>
        <v>4620</v>
      </c>
      <c r="D24" s="5">
        <v>5800</v>
      </c>
      <c r="E24" s="15">
        <f t="shared" si="1"/>
        <v>26796000</v>
      </c>
      <c r="F24" s="28"/>
      <c r="G24" s="23"/>
    </row>
    <row r="25" spans="1:7" ht="15.6" x14ac:dyDescent="0.3">
      <c r="A25" s="5" t="s">
        <v>79</v>
      </c>
      <c r="B25" s="5" t="s">
        <v>18</v>
      </c>
      <c r="C25" s="15">
        <f>51*15</f>
        <v>765</v>
      </c>
      <c r="D25" s="5">
        <v>5220</v>
      </c>
      <c r="E25" s="15">
        <f t="shared" si="1"/>
        <v>3993300</v>
      </c>
      <c r="F25" s="15"/>
      <c r="G25" s="25"/>
    </row>
    <row r="26" spans="1:7" ht="15.6" x14ac:dyDescent="0.3">
      <c r="A26" s="5" t="s">
        <v>90</v>
      </c>
      <c r="B26" s="5" t="s">
        <v>18</v>
      </c>
      <c r="C26" s="15">
        <f>98*15</f>
        <v>1470</v>
      </c>
      <c r="D26" s="5">
        <v>5220</v>
      </c>
      <c r="E26" s="15">
        <f t="shared" si="1"/>
        <v>7673400</v>
      </c>
      <c r="F26" s="15"/>
      <c r="G26" s="25"/>
    </row>
    <row r="27" spans="1:7" ht="15.6" x14ac:dyDescent="0.3">
      <c r="A27" s="5" t="s">
        <v>91</v>
      </c>
      <c r="B27" s="5" t="s">
        <v>18</v>
      </c>
      <c r="C27" s="15">
        <f>217*15</f>
        <v>3255</v>
      </c>
      <c r="D27" s="5">
        <v>5220</v>
      </c>
      <c r="E27" s="15">
        <f t="shared" si="1"/>
        <v>16991100</v>
      </c>
      <c r="F27" s="15"/>
      <c r="G27" s="25"/>
    </row>
    <row r="28" spans="1:7" ht="15.6" x14ac:dyDescent="0.3">
      <c r="C28" s="18">
        <f>SUM(C21:C25)</f>
        <v>13770</v>
      </c>
      <c r="D28" s="19"/>
      <c r="E28" s="18">
        <f>SUM(E21:E27)</f>
        <v>99512400</v>
      </c>
      <c r="F28" s="15"/>
    </row>
    <row r="29" spans="1:7" ht="15.6" x14ac:dyDescent="0.3">
      <c r="F29" s="15"/>
    </row>
    <row r="30" spans="1:7" ht="15.6" x14ac:dyDescent="0.3">
      <c r="A30" s="5" t="s">
        <v>80</v>
      </c>
      <c r="B30" s="5" t="s">
        <v>18</v>
      </c>
      <c r="C30" s="2">
        <f>107*9</f>
        <v>963</v>
      </c>
      <c r="D30" s="5">
        <v>4860</v>
      </c>
      <c r="E30" s="4">
        <f>C30*D30</f>
        <v>4680180</v>
      </c>
      <c r="F30" s="15"/>
    </row>
    <row r="31" spans="1:7" ht="15.6" x14ac:dyDescent="0.3">
      <c r="A31" s="5" t="s">
        <v>81</v>
      </c>
      <c r="B31" s="5" t="s">
        <v>18</v>
      </c>
      <c r="C31" s="2">
        <f>406*9</f>
        <v>3654</v>
      </c>
      <c r="D31" s="5">
        <v>4770</v>
      </c>
      <c r="E31" s="4">
        <f t="shared" ref="E31:E37" si="2">C31*D31</f>
        <v>17429580</v>
      </c>
      <c r="F31" s="15"/>
    </row>
    <row r="32" spans="1:7" ht="15.6" x14ac:dyDescent="0.3">
      <c r="A32" s="5" t="s">
        <v>103</v>
      </c>
      <c r="B32" s="5" t="s">
        <v>18</v>
      </c>
      <c r="C32" s="2">
        <f>46*9</f>
        <v>414</v>
      </c>
      <c r="D32" s="5">
        <v>4770</v>
      </c>
      <c r="E32" s="4">
        <f t="shared" si="2"/>
        <v>1974780</v>
      </c>
      <c r="F32" s="15"/>
      <c r="G32" s="24"/>
    </row>
    <row r="33" spans="1:7" ht="15.6" x14ac:dyDescent="0.3">
      <c r="A33" s="5" t="s">
        <v>82</v>
      </c>
      <c r="B33" s="5" t="s">
        <v>18</v>
      </c>
      <c r="C33" s="2">
        <f>42*14</f>
        <v>588</v>
      </c>
      <c r="D33" s="5">
        <v>5500</v>
      </c>
      <c r="E33" s="4">
        <f t="shared" si="2"/>
        <v>3234000</v>
      </c>
      <c r="F33" s="15"/>
      <c r="G33" s="23"/>
    </row>
    <row r="34" spans="1:7" ht="15.6" x14ac:dyDescent="0.3">
      <c r="A34" s="5" t="s">
        <v>83</v>
      </c>
      <c r="B34" s="5" t="s">
        <v>85</v>
      </c>
      <c r="C34" s="2">
        <f>42*1250</f>
        <v>52500</v>
      </c>
      <c r="D34" s="5">
        <v>100</v>
      </c>
      <c r="E34" s="4">
        <f t="shared" si="2"/>
        <v>5250000</v>
      </c>
      <c r="F34" s="15"/>
      <c r="G34" s="23"/>
    </row>
    <row r="35" spans="1:7" ht="15.6" x14ac:dyDescent="0.3">
      <c r="A35" s="5" t="s">
        <v>84</v>
      </c>
      <c r="B35" s="5" t="s">
        <v>18</v>
      </c>
      <c r="C35" s="2">
        <f>51*9</f>
        <v>459</v>
      </c>
      <c r="D35" s="5">
        <v>4770</v>
      </c>
      <c r="E35" s="33">
        <f t="shared" si="2"/>
        <v>2189430</v>
      </c>
      <c r="F35" s="15"/>
    </row>
    <row r="36" spans="1:7" ht="15.6" x14ac:dyDescent="0.3">
      <c r="A36" s="5" t="s">
        <v>104</v>
      </c>
      <c r="B36" s="5" t="s">
        <v>18</v>
      </c>
      <c r="C36" s="2">
        <f>98*9</f>
        <v>882</v>
      </c>
      <c r="D36" s="5">
        <v>4770</v>
      </c>
      <c r="E36" s="33">
        <f t="shared" si="2"/>
        <v>4207140</v>
      </c>
      <c r="F36" s="15"/>
    </row>
    <row r="37" spans="1:7" ht="15.6" x14ac:dyDescent="0.3">
      <c r="A37" s="5" t="s">
        <v>105</v>
      </c>
      <c r="B37" s="5" t="s">
        <v>18</v>
      </c>
      <c r="C37" s="2">
        <f>217*9</f>
        <v>1953</v>
      </c>
      <c r="D37" s="5">
        <v>4770</v>
      </c>
      <c r="E37" s="33">
        <f t="shared" si="2"/>
        <v>9315810</v>
      </c>
      <c r="F37" s="15"/>
    </row>
    <row r="38" spans="1:7" ht="15.6" x14ac:dyDescent="0.3">
      <c r="C38" s="20"/>
      <c r="D38" s="20"/>
      <c r="E38" s="21">
        <f>SUM(E30:E37)</f>
        <v>48280920</v>
      </c>
      <c r="F38" s="15"/>
    </row>
    <row r="40" spans="1:7" ht="15.6" x14ac:dyDescent="0.3">
      <c r="D40" s="11" t="s">
        <v>124</v>
      </c>
      <c r="E40" s="49">
        <f>E38+E28+E19</f>
        <v>345247320</v>
      </c>
      <c r="F40" s="68">
        <f>Table4[[#This Row],[Montant (Ar)]]/29</f>
        <v>11905080</v>
      </c>
    </row>
  </sheetData>
  <mergeCells count="1">
    <mergeCell ref="F1:J1"/>
  </mergeCells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5A0C-BFE5-456F-B027-2C4E3C045ED3}">
  <sheetPr>
    <tabColor theme="5" tint="-0.249977111117893"/>
  </sheetPr>
  <dimension ref="A1:G21"/>
  <sheetViews>
    <sheetView zoomScale="150" zoomScaleNormal="150" workbookViewId="0">
      <selection activeCell="F15" sqref="F15"/>
    </sheetView>
  </sheetViews>
  <sheetFormatPr defaultColWidth="9.109375" defaultRowHeight="14.4" x14ac:dyDescent="0.3"/>
  <cols>
    <col min="1" max="1" width="14.44140625" customWidth="1"/>
    <col min="2" max="2" width="22.6640625" bestFit="1" customWidth="1"/>
    <col min="3" max="3" width="18.88671875" bestFit="1" customWidth="1"/>
    <col min="4" max="4" width="19.5546875" customWidth="1"/>
    <col min="5" max="5" width="12.88671875" bestFit="1" customWidth="1"/>
    <col min="6" max="6" width="14" bestFit="1" customWidth="1"/>
    <col min="7" max="7" width="11.33203125" customWidth="1"/>
  </cols>
  <sheetData>
    <row r="1" spans="1:7" ht="15.6" x14ac:dyDescent="0.3">
      <c r="A1" s="1" t="s">
        <v>87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7" ht="15.6" x14ac:dyDescent="0.3">
      <c r="A2" s="34">
        <f>COGS!F38</f>
        <v>269446743.85000002</v>
      </c>
      <c r="B2" s="28">
        <f>'Vente 2023-2024'!E19</f>
        <v>197454000</v>
      </c>
      <c r="C2" s="44">
        <f>D2*2000</f>
        <v>251140000</v>
      </c>
      <c r="D2" s="43">
        <v>125570</v>
      </c>
    </row>
    <row r="3" spans="1:7" ht="15.6" x14ac:dyDescent="0.3">
      <c r="A3" s="34">
        <f>'Produits NPKSemences'!D10</f>
        <v>139039000</v>
      </c>
      <c r="B3" s="28">
        <f>'Vente 2023-2024'!E28</f>
        <v>99512400</v>
      </c>
      <c r="C3" s="67">
        <f>(Table6[[#This Row],[Ventes]]+B4)-Table6[[#This Row],[Charges]]</f>
        <v>8754320</v>
      </c>
      <c r="D3" t="s">
        <v>137</v>
      </c>
    </row>
    <row r="4" spans="1:7" ht="15.6" x14ac:dyDescent="0.3">
      <c r="B4" s="28">
        <f>'Vente 2023-2024'!E38</f>
        <v>48280920</v>
      </c>
    </row>
    <row r="5" spans="1:7" ht="15.6" x14ac:dyDescent="0.3">
      <c r="B5" s="36">
        <f>'Vente 2023-2024'!J7</f>
        <v>74907000</v>
      </c>
      <c r="C5" s="27" t="s">
        <v>111</v>
      </c>
    </row>
    <row r="7" spans="1:7" ht="15.6" x14ac:dyDescent="0.3">
      <c r="A7" s="11" t="s">
        <v>112</v>
      </c>
      <c r="B7" s="11" t="s">
        <v>113</v>
      </c>
      <c r="C7" s="11" t="s">
        <v>114</v>
      </c>
      <c r="D7" s="11" t="s">
        <v>115</v>
      </c>
    </row>
    <row r="8" spans="1:7" ht="15.6" x14ac:dyDescent="0.3">
      <c r="A8" s="35">
        <f>SUM(A2)</f>
        <v>269446743.85000002</v>
      </c>
      <c r="B8" s="22">
        <f>SUM(B2)</f>
        <v>197454000</v>
      </c>
      <c r="C8" s="22">
        <f>B8-A8</f>
        <v>-71992743.850000024</v>
      </c>
      <c r="D8" s="40">
        <f>C8+C2+B5</f>
        <v>254054256.14999998</v>
      </c>
      <c r="E8" s="45"/>
    </row>
    <row r="9" spans="1:7" ht="15.6" x14ac:dyDescent="0.3">
      <c r="D9" s="61"/>
      <c r="F9" s="66"/>
    </row>
    <row r="10" spans="1:7" ht="15.6" x14ac:dyDescent="0.3">
      <c r="D10" s="61"/>
      <c r="F10" s="65"/>
      <c r="G10" t="s">
        <v>135</v>
      </c>
    </row>
    <row r="11" spans="1:7" x14ac:dyDescent="0.3">
      <c r="F11" s="64"/>
      <c r="G11" t="s">
        <v>136</v>
      </c>
    </row>
    <row r="12" spans="1:7" ht="15.6" x14ac:dyDescent="0.3">
      <c r="D12" s="27"/>
    </row>
    <row r="14" spans="1:7" x14ac:dyDescent="0.3">
      <c r="D14" s="63"/>
    </row>
    <row r="15" spans="1:7" x14ac:dyDescent="0.3">
      <c r="B15" s="70">
        <f>A2+A3</f>
        <v>408485743.85000002</v>
      </c>
      <c r="C15" s="70">
        <f>SUM(B2:B5)</f>
        <v>420154320</v>
      </c>
      <c r="D15" s="63">
        <f>(C15-B15)+C2</f>
        <v>262808576.14999998</v>
      </c>
      <c r="E15" s="66">
        <f>D15/29</f>
        <v>9062364.6948275845</v>
      </c>
      <c r="F15" s="66">
        <f>E15/4500</f>
        <v>2013.8588210727967</v>
      </c>
    </row>
    <row r="16" spans="1:7" x14ac:dyDescent="0.3">
      <c r="B16" t="s">
        <v>112</v>
      </c>
      <c r="C16" t="s">
        <v>140</v>
      </c>
      <c r="D16" t="s">
        <v>141</v>
      </c>
      <c r="E16" t="s">
        <v>142</v>
      </c>
      <c r="F16" t="s">
        <v>143</v>
      </c>
    </row>
    <row r="20" spans="2:4" ht="15.6" x14ac:dyDescent="0.3">
      <c r="D20" s="27"/>
    </row>
    <row r="21" spans="2:4" ht="15.6" x14ac:dyDescent="0.3">
      <c r="B21" s="26"/>
      <c r="C21" s="26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COGS</vt:lpstr>
      <vt:lpstr>Production BSF</vt:lpstr>
      <vt:lpstr>Produits NPKSemences</vt:lpstr>
      <vt:lpstr>Vente 2023-2024</vt:lpstr>
      <vt:lpstr>Compte de résultat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Tendry Ny-Aina</dc:creator>
  <cp:lastModifiedBy>Tendry Ny-Aina</cp:lastModifiedBy>
  <cp:lastPrinted>2025-07-11T13:41:58Z</cp:lastPrinted>
  <dcterms:created xsi:type="dcterms:W3CDTF">2024-07-12T19:09:23Z</dcterms:created>
  <dcterms:modified xsi:type="dcterms:W3CDTF">2026-08-29T20:28:33Z</dcterms:modified>
</cp:coreProperties>
</file>